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esktop\En Excel Ass\Mini Project\"/>
    </mc:Choice>
  </mc:AlternateContent>
  <xr:revisionPtr revIDLastSave="0" documentId="13_ncr:1_{20598CD0-0E23-477D-A8E7-967ECDBE1CE0}" xr6:coauthVersionLast="47" xr6:coauthVersionMax="47" xr10:uidLastSave="{00000000-0000-0000-0000-000000000000}"/>
  <bookViews>
    <workbookView xWindow="-110" yWindow="-110" windowWidth="19420" windowHeight="10300" xr2:uid="{3050F100-7303-48BC-9F50-127B61D565AC}"/>
  </bookViews>
  <sheets>
    <sheet name="Sales" sheetId="1" r:id="rId1"/>
    <sheet name="Customers" sheetId="2" r:id="rId2"/>
    <sheet name="Products" sheetId="3" r:id="rId3"/>
  </sheets>
  <definedNames>
    <definedName name="ExternalData_2" localSheetId="0" hidden="1">Sales!$A$1:$L$2001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999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2001" i="1"/>
  <c r="J66" i="1"/>
  <c r="J76" i="1"/>
  <c r="J3" i="1"/>
  <c r="J63" i="1"/>
  <c r="J4" i="1"/>
  <c r="J5" i="1"/>
  <c r="J36" i="1"/>
  <c r="J61" i="1"/>
  <c r="J6" i="1"/>
  <c r="J7" i="1"/>
  <c r="J25" i="1"/>
  <c r="J34" i="1"/>
  <c r="J50" i="1"/>
  <c r="J65" i="1"/>
  <c r="J8" i="1"/>
  <c r="J9" i="1"/>
  <c r="J10" i="1"/>
  <c r="J11" i="1"/>
  <c r="J12" i="1"/>
  <c r="J26" i="1"/>
  <c r="J13" i="1"/>
  <c r="J33" i="1"/>
  <c r="J14" i="1"/>
  <c r="J44" i="1"/>
  <c r="J15" i="1"/>
  <c r="J21" i="1"/>
  <c r="J84" i="1"/>
  <c r="J16" i="1"/>
  <c r="J17" i="1"/>
  <c r="J18" i="1"/>
  <c r="J43" i="1"/>
  <c r="J19" i="1"/>
  <c r="J20" i="1"/>
  <c r="J22" i="1"/>
  <c r="J23" i="1"/>
  <c r="J52" i="1"/>
  <c r="J24" i="1"/>
  <c r="J59" i="1"/>
  <c r="J27" i="1"/>
  <c r="J47" i="1"/>
  <c r="J71" i="1"/>
  <c r="J28" i="1"/>
  <c r="J29" i="1"/>
  <c r="J40" i="1"/>
  <c r="J51" i="1"/>
  <c r="J80" i="1"/>
  <c r="J30" i="1"/>
  <c r="J41" i="1"/>
  <c r="J55" i="1"/>
  <c r="J98" i="1"/>
  <c r="J31" i="1"/>
  <c r="J32" i="1"/>
  <c r="J35" i="1"/>
  <c r="J86" i="1"/>
  <c r="J37" i="1"/>
  <c r="J85" i="1"/>
  <c r="J38" i="1"/>
  <c r="J39" i="1"/>
  <c r="J42" i="1"/>
  <c r="J45" i="1"/>
  <c r="J46" i="1"/>
  <c r="J49" i="1"/>
  <c r="J83" i="1"/>
  <c r="J48" i="1"/>
  <c r="J53" i="1"/>
  <c r="J54" i="1"/>
  <c r="J69" i="1"/>
  <c r="J56" i="1"/>
  <c r="J97" i="1"/>
  <c r="J57" i="1"/>
  <c r="J87" i="1"/>
  <c r="J58" i="1"/>
  <c r="J60" i="1"/>
  <c r="J81" i="1"/>
  <c r="J91" i="1"/>
  <c r="J62" i="1"/>
  <c r="J64" i="1"/>
  <c r="J93" i="1"/>
  <c r="J67" i="1"/>
  <c r="J68" i="1"/>
  <c r="J70" i="1"/>
  <c r="J72" i="1"/>
  <c r="J73" i="1"/>
  <c r="J74" i="1"/>
  <c r="J75" i="1"/>
  <c r="J77" i="1"/>
  <c r="J78" i="1"/>
  <c r="J79" i="1"/>
  <c r="J82" i="1"/>
  <c r="J88" i="1"/>
  <c r="J89" i="1"/>
  <c r="J90" i="1"/>
  <c r="J92" i="1"/>
  <c r="J94" i="1"/>
  <c r="J101" i="1"/>
  <c r="J95" i="1"/>
  <c r="J96" i="1"/>
  <c r="J99" i="1"/>
  <c r="J102" i="1"/>
  <c r="J100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62FF2E-8176-4B0B-88D1-E546DE76B5C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F23FC8B-B259-4C84-9EAB-996A8A3F16AD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<sst xmlns="http://schemas.openxmlformats.org/spreadsheetml/2006/main" count="13622" uniqueCount="2550">
  <si>
    <t>Order ID</t>
  </si>
  <si>
    <t>Order Date</t>
  </si>
  <si>
    <t>Ship Date</t>
  </si>
  <si>
    <t>Customer ID</t>
  </si>
  <si>
    <t>Product ID</t>
  </si>
  <si>
    <t>Sales</t>
  </si>
  <si>
    <t>Quantity</t>
  </si>
  <si>
    <t>Discount</t>
  </si>
  <si>
    <t>Ship Mode</t>
  </si>
  <si>
    <t>Sales Channel</t>
  </si>
  <si>
    <t>Returned</t>
  </si>
  <si>
    <t>ORD00001</t>
  </si>
  <si>
    <t>CUST0211</t>
  </si>
  <si>
    <t>PROD002</t>
  </si>
  <si>
    <t>First Class</t>
  </si>
  <si>
    <t>Yes</t>
  </si>
  <si>
    <t>Mobile App</t>
  </si>
  <si>
    <t>ORD00065</t>
  </si>
  <si>
    <t>CUST0173</t>
  </si>
  <si>
    <t>Second Class</t>
  </si>
  <si>
    <t>Online</t>
  </si>
  <si>
    <t>No</t>
  </si>
  <si>
    <t>ORD00075</t>
  </si>
  <si>
    <t>CUST0275</t>
  </si>
  <si>
    <t>ORD00002</t>
  </si>
  <si>
    <t>CUST0178</t>
  </si>
  <si>
    <t>PROD049</t>
  </si>
  <si>
    <t>ORD00062</t>
  </si>
  <si>
    <t>CUST0095</t>
  </si>
  <si>
    <t>ORD00003</t>
  </si>
  <si>
    <t>CUST0069</t>
  </si>
  <si>
    <t>PROD053</t>
  </si>
  <si>
    <t>ORD00004</t>
  </si>
  <si>
    <t>CUST0053</t>
  </si>
  <si>
    <t>PROD080</t>
  </si>
  <si>
    <t>ORD00035</t>
  </si>
  <si>
    <t>CUST0290</t>
  </si>
  <si>
    <t>ORD00060</t>
  </si>
  <si>
    <t>CUST0089</t>
  </si>
  <si>
    <t>Standard Class</t>
  </si>
  <si>
    <t>ORD00005</t>
  </si>
  <si>
    <t>CUST0157</t>
  </si>
  <si>
    <t>PROD004</t>
  </si>
  <si>
    <t>Store</t>
  </si>
  <si>
    <t>ORD00006</t>
  </si>
  <si>
    <t>CUST0118</t>
  </si>
  <si>
    <t>PROD012</t>
  </si>
  <si>
    <t>ORD00024</t>
  </si>
  <si>
    <t>CUST0046</t>
  </si>
  <si>
    <t>ORD00033</t>
  </si>
  <si>
    <t>CUST0008</t>
  </si>
  <si>
    <t>ORD00049</t>
  </si>
  <si>
    <t>CUST0060</t>
  </si>
  <si>
    <t>ORD00064</t>
  </si>
  <si>
    <t>CUST0020</t>
  </si>
  <si>
    <t>ORD00007</t>
  </si>
  <si>
    <t>CUST0202</t>
  </si>
  <si>
    <t>PROD007</t>
  </si>
  <si>
    <t>ORD00008</t>
  </si>
  <si>
    <t>CUST0186</t>
  </si>
  <si>
    <t>PROD036</t>
  </si>
  <si>
    <t>ORD00009</t>
  </si>
  <si>
    <t>PROD022</t>
  </si>
  <si>
    <t>ORD00010</t>
  </si>
  <si>
    <t>CUST0177</t>
  </si>
  <si>
    <t>PROD028</t>
  </si>
  <si>
    <t>ORD00011</t>
  </si>
  <si>
    <t>CUST0004</t>
  </si>
  <si>
    <t>PROD068</t>
  </si>
  <si>
    <t>ORD00025</t>
  </si>
  <si>
    <t>CUST0018</t>
  </si>
  <si>
    <t>ORD00012</t>
  </si>
  <si>
    <t>CUST0130</t>
  </si>
  <si>
    <t>PROD077</t>
  </si>
  <si>
    <t>ORD00032</t>
  </si>
  <si>
    <t>ORD00013</t>
  </si>
  <si>
    <t>CUST0027</t>
  </si>
  <si>
    <t>PROD085</t>
  </si>
  <si>
    <t>ORD00043</t>
  </si>
  <si>
    <t>CUST0009</t>
  </si>
  <si>
    <t>ORD00014</t>
  </si>
  <si>
    <t>CUST0028</t>
  </si>
  <si>
    <t>PROD035</t>
  </si>
  <si>
    <t>ORD00020</t>
  </si>
  <si>
    <t>CUST0032</t>
  </si>
  <si>
    <t>ORD00083</t>
  </si>
  <si>
    <t>CUST0047</t>
  </si>
  <si>
    <t>ORD00015</t>
  </si>
  <si>
    <t>CUST0223</t>
  </si>
  <si>
    <t>PROD038</t>
  </si>
  <si>
    <t>ORD00016</t>
  </si>
  <si>
    <t>PROD009</t>
  </si>
  <si>
    <t>ORD00017</t>
  </si>
  <si>
    <t>CUST0239</t>
  </si>
  <si>
    <t>PROD066</t>
  </si>
  <si>
    <t>ORD00042</t>
  </si>
  <si>
    <t>CUST0292</t>
  </si>
  <si>
    <t>ORD00018</t>
  </si>
  <si>
    <t>CUST0006</t>
  </si>
  <si>
    <t>PROD042</t>
  </si>
  <si>
    <t>ORD00019</t>
  </si>
  <si>
    <t>CUST0135</t>
  </si>
  <si>
    <t>PROD075</t>
  </si>
  <si>
    <t>ORD00021</t>
  </si>
  <si>
    <t>CUST0115</t>
  </si>
  <si>
    <t>PROD021</t>
  </si>
  <si>
    <t>ORD00022</t>
  </si>
  <si>
    <t>CUST0104</t>
  </si>
  <si>
    <t>PROD047</t>
  </si>
  <si>
    <t>ORD00051</t>
  </si>
  <si>
    <t>CUST0100</t>
  </si>
  <si>
    <t>ORD00023</t>
  </si>
  <si>
    <t>CUST0252</t>
  </si>
  <si>
    <t>PROD056</t>
  </si>
  <si>
    <t>ORD00058</t>
  </si>
  <si>
    <t>CUST0094</t>
  </si>
  <si>
    <t>ORD00026</t>
  </si>
  <si>
    <t>CUST0165</t>
  </si>
  <si>
    <t>PROD030</t>
  </si>
  <si>
    <t>ORD00046</t>
  </si>
  <si>
    <t>CUST0120</t>
  </si>
  <si>
    <t>ORD00070</t>
  </si>
  <si>
    <t>CUST0062</t>
  </si>
  <si>
    <t>ORD00027</t>
  </si>
  <si>
    <t>CUST0109</t>
  </si>
  <si>
    <t>PROD094</t>
  </si>
  <si>
    <t>ORD00028</t>
  </si>
  <si>
    <t>CUST0124</t>
  </si>
  <si>
    <t>PROD060</t>
  </si>
  <si>
    <t>ORD00039</t>
  </si>
  <si>
    <t>CUST0238</t>
  </si>
  <si>
    <t>ORD00050</t>
  </si>
  <si>
    <t>ORD00079</t>
  </si>
  <si>
    <t>ORD00029</t>
  </si>
  <si>
    <t>CUST0274</t>
  </si>
  <si>
    <t>PROD041</t>
  </si>
  <si>
    <t>ORD00040</t>
  </si>
  <si>
    <t>CUST0072</t>
  </si>
  <si>
    <t>ORD00054</t>
  </si>
  <si>
    <t>ORD00097</t>
  </si>
  <si>
    <t>CUST0295</t>
  </si>
  <si>
    <t>ORD00030</t>
  </si>
  <si>
    <t>CUST0233</t>
  </si>
  <si>
    <t>PROD084</t>
  </si>
  <si>
    <t>ORD00031</t>
  </si>
  <si>
    <t>CUST0200</t>
  </si>
  <si>
    <t>PROD072</t>
  </si>
  <si>
    <t>ORD00034</t>
  </si>
  <si>
    <t>PROD048</t>
  </si>
  <si>
    <t>ORD00085</t>
  </si>
  <si>
    <t>ORD00036</t>
  </si>
  <si>
    <t>CUST0281</t>
  </si>
  <si>
    <t>PROD008</t>
  </si>
  <si>
    <t>ORD00084</t>
  </si>
  <si>
    <t>CUST0193</t>
  </si>
  <si>
    <t>ORD00037</t>
  </si>
  <si>
    <t>CUST0087</t>
  </si>
  <si>
    <t>PROD096</t>
  </si>
  <si>
    <t>ORD00038</t>
  </si>
  <si>
    <t>CUST0108</t>
  </si>
  <si>
    <t>PROD064</t>
  </si>
  <si>
    <t>ORD00041</t>
  </si>
  <si>
    <t>CUST0031</t>
  </si>
  <si>
    <t>PROD017</t>
  </si>
  <si>
    <t>ORD00044</t>
  </si>
  <si>
    <t>CUST0113</t>
  </si>
  <si>
    <t>PROD015</t>
  </si>
  <si>
    <t>ORD00045</t>
  </si>
  <si>
    <t>CUST0150</t>
  </si>
  <si>
    <t>PROD006</t>
  </si>
  <si>
    <t>ORD00048</t>
  </si>
  <si>
    <t>CUST0034</t>
  </si>
  <si>
    <t>ORD00082</t>
  </si>
  <si>
    <t>CUST0037</t>
  </si>
  <si>
    <t>ORD00047</t>
  </si>
  <si>
    <t>PROD092</t>
  </si>
  <si>
    <t>ORD00052</t>
  </si>
  <si>
    <t>CUST0190</t>
  </si>
  <si>
    <t>PROD043</t>
  </si>
  <si>
    <t>ORD00053</t>
  </si>
  <si>
    <t>PROD070</t>
  </si>
  <si>
    <t>ORD00068</t>
  </si>
  <si>
    <t>CUST0259</t>
  </si>
  <si>
    <t>ORD00055</t>
  </si>
  <si>
    <t>CUST0297</t>
  </si>
  <si>
    <t>PROD010</t>
  </si>
  <si>
    <t>ORD00096</t>
  </si>
  <si>
    <t>CUST0116</t>
  </si>
  <si>
    <t>ORD00056</t>
  </si>
  <si>
    <t>CUST0126</t>
  </si>
  <si>
    <t>PROD033</t>
  </si>
  <si>
    <t>ORD00086</t>
  </si>
  <si>
    <t>ORD00057</t>
  </si>
  <si>
    <t>CUST0083</t>
  </si>
  <si>
    <t>PROD019</t>
  </si>
  <si>
    <t>ORD00059</t>
  </si>
  <si>
    <t>CUST0088</t>
  </si>
  <si>
    <t>PROD052</t>
  </si>
  <si>
    <t>ORD00080</t>
  </si>
  <si>
    <t>CUST0061</t>
  </si>
  <si>
    <t>ORD00090</t>
  </si>
  <si>
    <t>CUST0102</t>
  </si>
  <si>
    <t>ORD00061</t>
  </si>
  <si>
    <t>CUST0289</t>
  </si>
  <si>
    <t>PROD097</t>
  </si>
  <si>
    <t>ORD00063</t>
  </si>
  <si>
    <t>CUST0143</t>
  </si>
  <si>
    <t>PROD023</t>
  </si>
  <si>
    <t>ORD00092</t>
  </si>
  <si>
    <t>CUST0175</t>
  </si>
  <si>
    <t>ORD00066</t>
  </si>
  <si>
    <t>PROD083</t>
  </si>
  <si>
    <t>ORD00067</t>
  </si>
  <si>
    <t>CUST0038</t>
  </si>
  <si>
    <t>PROD025</t>
  </si>
  <si>
    <t>ORD00069</t>
  </si>
  <si>
    <t>CUST0152</t>
  </si>
  <si>
    <t>PROD071</t>
  </si>
  <si>
    <t>ORD00071</t>
  </si>
  <si>
    <t>CUST0162</t>
  </si>
  <si>
    <t>PROD045</t>
  </si>
  <si>
    <t>ORD00072</t>
  </si>
  <si>
    <t>CUST0283</t>
  </si>
  <si>
    <t>PROD051</t>
  </si>
  <si>
    <t>ORD00073</t>
  </si>
  <si>
    <t>CUST0231</t>
  </si>
  <si>
    <t>PROD040</t>
  </si>
  <si>
    <t>ORD00074</t>
  </si>
  <si>
    <t>CUST0131</t>
  </si>
  <si>
    <t>PROD014</t>
  </si>
  <si>
    <t>ORD00076</t>
  </si>
  <si>
    <t>PROD001</t>
  </si>
  <si>
    <t>ORD00077</t>
  </si>
  <si>
    <t>CUST0170</t>
  </si>
  <si>
    <t>PROD031</t>
  </si>
  <si>
    <t>ORD00078</t>
  </si>
  <si>
    <t>CUST0136</t>
  </si>
  <si>
    <t>PROD091</t>
  </si>
  <si>
    <t>ORD00081</t>
  </si>
  <si>
    <t>CUST0021</t>
  </si>
  <si>
    <t>PROD044</t>
  </si>
  <si>
    <t>ORD00087</t>
  </si>
  <si>
    <t>CUST0005</t>
  </si>
  <si>
    <t>PROD087</t>
  </si>
  <si>
    <t>ORD00088</t>
  </si>
  <si>
    <t>CUST0251</t>
  </si>
  <si>
    <t>PROD058</t>
  </si>
  <si>
    <t>ORD00089</t>
  </si>
  <si>
    <t>CUST0033</t>
  </si>
  <si>
    <t>ORD00091</t>
  </si>
  <si>
    <t>CUST0286</t>
  </si>
  <si>
    <t>PROD032</t>
  </si>
  <si>
    <t>ORD00093</t>
  </si>
  <si>
    <t>CUST0294</t>
  </si>
  <si>
    <t>PROD020</t>
  </si>
  <si>
    <t>ORD00100</t>
  </si>
  <si>
    <t>CUST0121</t>
  </si>
  <si>
    <t>ORD00094</t>
  </si>
  <si>
    <t>CUST0269</t>
  </si>
  <si>
    <t>PROD089</t>
  </si>
  <si>
    <t>ORD00095</t>
  </si>
  <si>
    <t>CUST0051</t>
  </si>
  <si>
    <t>PROD074</t>
  </si>
  <si>
    <t>ORD00098</t>
  </si>
  <si>
    <t>CUST0067</t>
  </si>
  <si>
    <t>PROD082</t>
  </si>
  <si>
    <t>ORD00101</t>
  </si>
  <si>
    <t>ORD00099</t>
  </si>
  <si>
    <t>PROD088</t>
  </si>
  <si>
    <t>ORD00102</t>
  </si>
  <si>
    <t>CUST0256</t>
  </si>
  <si>
    <t>ORD00103</t>
  </si>
  <si>
    <t>CUST0106</t>
  </si>
  <si>
    <t>PROD090</t>
  </si>
  <si>
    <t>ORD00104</t>
  </si>
  <si>
    <t>CUST0049</t>
  </si>
  <si>
    <t>ORD00105</t>
  </si>
  <si>
    <t>CUST0030</t>
  </si>
  <si>
    <t>PROD086</t>
  </si>
  <si>
    <t>ORD00106</t>
  </si>
  <si>
    <t>CUST0287</t>
  </si>
  <si>
    <t>PROD095</t>
  </si>
  <si>
    <t>ORD00107</t>
  </si>
  <si>
    <t>ORD00108</t>
  </si>
  <si>
    <t>CUST0073</t>
  </si>
  <si>
    <t>PROD055</t>
  </si>
  <si>
    <t>ORD00109</t>
  </si>
  <si>
    <t>ORD00110</t>
  </si>
  <si>
    <t>CUST0164</t>
  </si>
  <si>
    <t>ORD00111</t>
  </si>
  <si>
    <t>CUST0261</t>
  </si>
  <si>
    <t>PROD039</t>
  </si>
  <si>
    <t>ORD00112</t>
  </si>
  <si>
    <t>PROD054</t>
  </si>
  <si>
    <t>ORD00113</t>
  </si>
  <si>
    <t>CUST0249</t>
  </si>
  <si>
    <t>ORD00114</t>
  </si>
  <si>
    <t>ORD00115</t>
  </si>
  <si>
    <t>ORD00116</t>
  </si>
  <si>
    <t>CUST0242</t>
  </si>
  <si>
    <t>ORD00117</t>
  </si>
  <si>
    <t>CUST0056</t>
  </si>
  <si>
    <t>ORD00118</t>
  </si>
  <si>
    <t>CUST0222</t>
  </si>
  <si>
    <t>ORD00119</t>
  </si>
  <si>
    <t>ORD00120</t>
  </si>
  <si>
    <t>CUST0114</t>
  </si>
  <si>
    <t>ORD00121</t>
  </si>
  <si>
    <t>ORD00122</t>
  </si>
  <si>
    <t>CUST0003</t>
  </si>
  <si>
    <t>PROD013</t>
  </si>
  <si>
    <t>ORD00123</t>
  </si>
  <si>
    <t>ORD00124</t>
  </si>
  <si>
    <t>ORD00125</t>
  </si>
  <si>
    <t>CUST0013</t>
  </si>
  <si>
    <t>ORD00126</t>
  </si>
  <si>
    <t>ORD00127</t>
  </si>
  <si>
    <t>CUST0192</t>
  </si>
  <si>
    <t>PROD063</t>
  </si>
  <si>
    <t>ORD00128</t>
  </si>
  <si>
    <t>ORD00129</t>
  </si>
  <si>
    <t>ORD00130</t>
  </si>
  <si>
    <t>CUST0093</t>
  </si>
  <si>
    <t>ORD00131</t>
  </si>
  <si>
    <t>CUST0057</t>
  </si>
  <si>
    <t>ORD00132</t>
  </si>
  <si>
    <t>CUST0241</t>
  </si>
  <si>
    <t>ORD00133</t>
  </si>
  <si>
    <t>CUST0017</t>
  </si>
  <si>
    <t>PROD011</t>
  </si>
  <si>
    <t>ORD00134</t>
  </si>
  <si>
    <t>CUST0137</t>
  </si>
  <si>
    <t>ORD00135</t>
  </si>
  <si>
    <t>CUST0267</t>
  </si>
  <si>
    <t>ORD00136</t>
  </si>
  <si>
    <t>CUST0224</t>
  </si>
  <si>
    <t>PROD037</t>
  </si>
  <si>
    <t>ORD00137</t>
  </si>
  <si>
    <t>CUST0212</t>
  </si>
  <si>
    <t>ORD00138</t>
  </si>
  <si>
    <t>CUST0203</t>
  </si>
  <si>
    <t>PROD026</t>
  </si>
  <si>
    <t>ORD00139</t>
  </si>
  <si>
    <t>ORD00140</t>
  </si>
  <si>
    <t>ORD00141</t>
  </si>
  <si>
    <t>CUST0071</t>
  </si>
  <si>
    <t>ORD00142</t>
  </si>
  <si>
    <t>CUST0085</t>
  </si>
  <si>
    <t>ORD00143</t>
  </si>
  <si>
    <t>CUST0271</t>
  </si>
  <si>
    <t>ORD00144</t>
  </si>
  <si>
    <t>CUST0240</t>
  </si>
  <si>
    <t>ORD00145</t>
  </si>
  <si>
    <t>CUST0184</t>
  </si>
  <si>
    <t>PROD029</t>
  </si>
  <si>
    <t>ORD00146</t>
  </si>
  <si>
    <t>CUST0284</t>
  </si>
  <si>
    <t>PROD024</t>
  </si>
  <si>
    <t>ORD00147</t>
  </si>
  <si>
    <t>PROD005</t>
  </si>
  <si>
    <t>ORD00148</t>
  </si>
  <si>
    <t>ORD00149</t>
  </si>
  <si>
    <t>ORD00150</t>
  </si>
  <si>
    <t>CUST0111</t>
  </si>
  <si>
    <t>ORD00151</t>
  </si>
  <si>
    <t>CUST0084</t>
  </si>
  <si>
    <t>ORD00152</t>
  </si>
  <si>
    <t>ORD00153</t>
  </si>
  <si>
    <t>ORD00154</t>
  </si>
  <si>
    <t>ORD00155</t>
  </si>
  <si>
    <t>ORD00156</t>
  </si>
  <si>
    <t>CUST0023</t>
  </si>
  <si>
    <t>ORD00157</t>
  </si>
  <si>
    <t>ORD00158</t>
  </si>
  <si>
    <t>CUST0196</t>
  </si>
  <si>
    <t>ORD00159</t>
  </si>
  <si>
    <t>PROD003</t>
  </si>
  <si>
    <t>ORD00160</t>
  </si>
  <si>
    <t>ORD00161</t>
  </si>
  <si>
    <t>ORD00162</t>
  </si>
  <si>
    <t>CUST0220</t>
  </si>
  <si>
    <t>ORD00163</t>
  </si>
  <si>
    <t>CUST0213</t>
  </si>
  <si>
    <t>ORD00164</t>
  </si>
  <si>
    <t>PROD079</t>
  </si>
  <si>
    <t>ORD00165</t>
  </si>
  <si>
    <t>ORD00166</t>
  </si>
  <si>
    <t>CUST0195</t>
  </si>
  <si>
    <t>PROD059</t>
  </si>
  <si>
    <t>ORD00167</t>
  </si>
  <si>
    <t>ORD00168</t>
  </si>
  <si>
    <t>CUST0268</t>
  </si>
  <si>
    <t>ORD00169</t>
  </si>
  <si>
    <t>ORD00170</t>
  </si>
  <si>
    <t>CUST0082</t>
  </si>
  <si>
    <t>ORD00171</t>
  </si>
  <si>
    <t>CUST0063</t>
  </si>
  <si>
    <t>ORD00172</t>
  </si>
  <si>
    <t>ORD00173</t>
  </si>
  <si>
    <t>ORD00174</t>
  </si>
  <si>
    <t>ORD00175</t>
  </si>
  <si>
    <t>ORD00176</t>
  </si>
  <si>
    <t>CUST0055</t>
  </si>
  <si>
    <t>ORD00177</t>
  </si>
  <si>
    <t>ORD00178</t>
  </si>
  <si>
    <t>ORD00179</t>
  </si>
  <si>
    <t>ORD00180</t>
  </si>
  <si>
    <t>CUST0181</t>
  </si>
  <si>
    <t>PROD016</t>
  </si>
  <si>
    <t>ORD00181</t>
  </si>
  <si>
    <t>CUST0194</t>
  </si>
  <si>
    <t>ORD00182</t>
  </si>
  <si>
    <t>ORD00183</t>
  </si>
  <si>
    <t>ORD00184</t>
  </si>
  <si>
    <t>CUST0206</t>
  </si>
  <si>
    <t>ORD00185</t>
  </si>
  <si>
    <t>ORD00186</t>
  </si>
  <si>
    <t>ORD00187</t>
  </si>
  <si>
    <t>CUST0122</t>
  </si>
  <si>
    <t>ORD00188</t>
  </si>
  <si>
    <t>CUST0253</t>
  </si>
  <si>
    <t>ORD00189</t>
  </si>
  <si>
    <t>CUST0244</t>
  </si>
  <si>
    <t>ORD00190</t>
  </si>
  <si>
    <t>CUST0007</t>
  </si>
  <si>
    <t>ORD00191</t>
  </si>
  <si>
    <t>CUST0123</t>
  </si>
  <si>
    <t>ORD00192</t>
  </si>
  <si>
    <t>ORD00193</t>
  </si>
  <si>
    <t>CUST0191</t>
  </si>
  <si>
    <t>ORD00194</t>
  </si>
  <si>
    <t>CUST0076</t>
  </si>
  <si>
    <t>ORD00195</t>
  </si>
  <si>
    <t>ORD00196</t>
  </si>
  <si>
    <t>CUST0025</t>
  </si>
  <si>
    <t>ORD00197</t>
  </si>
  <si>
    <t>PROD050</t>
  </si>
  <si>
    <t>ORD00198</t>
  </si>
  <si>
    <t>CUST0180</t>
  </si>
  <si>
    <t>ORD00199</t>
  </si>
  <si>
    <t>CUST0198</t>
  </si>
  <si>
    <t>PROD018</t>
  </si>
  <si>
    <t>ORD00200</t>
  </si>
  <si>
    <t>PROD067</t>
  </si>
  <si>
    <t>ORD00201</t>
  </si>
  <si>
    <t>CUST0132</t>
  </si>
  <si>
    <t>ORD00202</t>
  </si>
  <si>
    <t>CUST0172</t>
  </si>
  <si>
    <t>PROD034</t>
  </si>
  <si>
    <t>ORD00203</t>
  </si>
  <si>
    <t>PROD046</t>
  </si>
  <si>
    <t>ORD00204</t>
  </si>
  <si>
    <t>ORD00205</t>
  </si>
  <si>
    <t>CUST0039</t>
  </si>
  <si>
    <t>ORD00206</t>
  </si>
  <si>
    <t>CUST0219</t>
  </si>
  <si>
    <t>ORD00207</t>
  </si>
  <si>
    <t>CUST0043</t>
  </si>
  <si>
    <t>PROD062</t>
  </si>
  <si>
    <t>ORD00208</t>
  </si>
  <si>
    <t>ORD00209</t>
  </si>
  <si>
    <t>ORD00210</t>
  </si>
  <si>
    <t>CUST0080</t>
  </si>
  <si>
    <t>ORD00211</t>
  </si>
  <si>
    <t>ORD00212</t>
  </si>
  <si>
    <t>ORD00213</t>
  </si>
  <si>
    <t>CUST0299</t>
  </si>
  <si>
    <t>ORD00214</t>
  </si>
  <si>
    <t>ORD00215</t>
  </si>
  <si>
    <t>CUST0263</t>
  </si>
  <si>
    <t>ORD00216</t>
  </si>
  <si>
    <t>ORD00217</t>
  </si>
  <si>
    <t>CUST0161</t>
  </si>
  <si>
    <t>ORD00218</t>
  </si>
  <si>
    <t>CUST0282</t>
  </si>
  <si>
    <t>ORD00219</t>
  </si>
  <si>
    <t>ORD00220</t>
  </si>
  <si>
    <t>CUST0097</t>
  </si>
  <si>
    <t>ORD00221</t>
  </si>
  <si>
    <t>ORD00222</t>
  </si>
  <si>
    <t>CUST0091</t>
  </si>
  <si>
    <t>ORD00223</t>
  </si>
  <si>
    <t>ORD00224</t>
  </si>
  <si>
    <t>CUST0169</t>
  </si>
  <si>
    <t>ORD00225</t>
  </si>
  <si>
    <t>ORD00226</t>
  </si>
  <si>
    <t>CUST0232</t>
  </si>
  <si>
    <t>PROD076</t>
  </si>
  <si>
    <t>ORD00227</t>
  </si>
  <si>
    <t>ORD00228</t>
  </si>
  <si>
    <t>ORD00229</t>
  </si>
  <si>
    <t>ORD00230</t>
  </si>
  <si>
    <t>CUST0103</t>
  </si>
  <si>
    <t>ORD00231</t>
  </si>
  <si>
    <t>ORD00232</t>
  </si>
  <si>
    <t>CUST0128</t>
  </si>
  <si>
    <t>ORD00233</t>
  </si>
  <si>
    <t>ORD00234</t>
  </si>
  <si>
    <t>CUST0247</t>
  </si>
  <si>
    <t>ORD00235</t>
  </si>
  <si>
    <t>ORD00236</t>
  </si>
  <si>
    <t>ORD00237</t>
  </si>
  <si>
    <t>ORD00238</t>
  </si>
  <si>
    <t>ORD00239</t>
  </si>
  <si>
    <t>ORD00240</t>
  </si>
  <si>
    <t>CUST0277</t>
  </si>
  <si>
    <t>ORD00241</t>
  </si>
  <si>
    <t>ORD00242</t>
  </si>
  <si>
    <t>CUST0044</t>
  </si>
  <si>
    <t>ORD00243</t>
  </si>
  <si>
    <t>CUST0117</t>
  </si>
  <si>
    <t>PROD098</t>
  </si>
  <si>
    <t>ORD00244</t>
  </si>
  <si>
    <t>ORD00245</t>
  </si>
  <si>
    <t>CUST0054</t>
  </si>
  <si>
    <t>ORD00246</t>
  </si>
  <si>
    <t>ORD00247</t>
  </si>
  <si>
    <t>ORD00248</t>
  </si>
  <si>
    <t>CUST0148</t>
  </si>
  <si>
    <t>ORD00249</t>
  </si>
  <si>
    <t>CUST0011</t>
  </si>
  <si>
    <t>ORD00250</t>
  </si>
  <si>
    <t>CUST0064</t>
  </si>
  <si>
    <t>ORD00251</t>
  </si>
  <si>
    <t>ORD00252</t>
  </si>
  <si>
    <t>ORD00253</t>
  </si>
  <si>
    <t>ORD00254</t>
  </si>
  <si>
    <t>ORD00255</t>
  </si>
  <si>
    <t>CUST0254</t>
  </si>
  <si>
    <t>ORD00256</t>
  </si>
  <si>
    <t>CUST0058</t>
  </si>
  <si>
    <t>ORD00257</t>
  </si>
  <si>
    <t>CUST0168</t>
  </si>
  <si>
    <t>ORD00258</t>
  </si>
  <si>
    <t>ORD00259</t>
  </si>
  <si>
    <t>CUST0243</t>
  </si>
  <si>
    <t>ORD00260</t>
  </si>
  <si>
    <t>ORD00261</t>
  </si>
  <si>
    <t>CUST0163</t>
  </si>
  <si>
    <t>ORD00262</t>
  </si>
  <si>
    <t>ORD00263</t>
  </si>
  <si>
    <t>CUST0066</t>
  </si>
  <si>
    <t>PROD093</t>
  </si>
  <si>
    <t>ORD00264</t>
  </si>
  <si>
    <t>CUST0125</t>
  </si>
  <si>
    <t>ORD00265</t>
  </si>
  <si>
    <t>ORD00266</t>
  </si>
  <si>
    <t>ORD00267</t>
  </si>
  <si>
    <t>CUST0257</t>
  </si>
  <si>
    <t>ORD00268</t>
  </si>
  <si>
    <t>CUST0052</t>
  </si>
  <si>
    <t>ORD00269</t>
  </si>
  <si>
    <t>ORD00270</t>
  </si>
  <si>
    <t>ORD00271</t>
  </si>
  <si>
    <t>ORD00272</t>
  </si>
  <si>
    <t>ORD00273</t>
  </si>
  <si>
    <t>CUST0105</t>
  </si>
  <si>
    <t>ORD00274</t>
  </si>
  <si>
    <t>ORD00275</t>
  </si>
  <si>
    <t>CUST0280</t>
  </si>
  <si>
    <t>ORD00276</t>
  </si>
  <si>
    <t>CUST0216</t>
  </si>
  <si>
    <t>ORD00277</t>
  </si>
  <si>
    <t>ORD00278</t>
  </si>
  <si>
    <t>ORD00279</t>
  </si>
  <si>
    <t>PROD065</t>
  </si>
  <si>
    <t>ORD00280</t>
  </si>
  <si>
    <t>ORD00281</t>
  </si>
  <si>
    <t>CUST0270</t>
  </si>
  <si>
    <t>ORD00282</t>
  </si>
  <si>
    <t>CUST0208</t>
  </si>
  <si>
    <t>ORD00283</t>
  </si>
  <si>
    <t>ORD00284</t>
  </si>
  <si>
    <t>ORD00285</t>
  </si>
  <si>
    <t>ORD00286</t>
  </si>
  <si>
    <t>CUST0077</t>
  </si>
  <si>
    <t>ORD00287</t>
  </si>
  <si>
    <t>CUST0145</t>
  </si>
  <si>
    <t>ORD00288</t>
  </si>
  <si>
    <t>ORD00289</t>
  </si>
  <si>
    <t>ORD00290</t>
  </si>
  <si>
    <t>ORD00291</t>
  </si>
  <si>
    <t>ORD00292</t>
  </si>
  <si>
    <t>CUST0229</t>
  </si>
  <si>
    <t>ORD00293</t>
  </si>
  <si>
    <t>ORD00294</t>
  </si>
  <si>
    <t>ORD00295</t>
  </si>
  <si>
    <t>ORD00296</t>
  </si>
  <si>
    <t>CUST0248</t>
  </si>
  <si>
    <t>ORD00297</t>
  </si>
  <si>
    <t>CUST0119</t>
  </si>
  <si>
    <t>ORD00298</t>
  </si>
  <si>
    <t>ORD00299</t>
  </si>
  <si>
    <t>ORD00300</t>
  </si>
  <si>
    <t>CUST0024</t>
  </si>
  <si>
    <t>PROD099</t>
  </si>
  <si>
    <t>ORD00301</t>
  </si>
  <si>
    <t>CUST0144</t>
  </si>
  <si>
    <t>ORD00302</t>
  </si>
  <si>
    <t>CUST0246</t>
  </si>
  <si>
    <t>ORD00303</t>
  </si>
  <si>
    <t>CUST0016</t>
  </si>
  <si>
    <t>ORD00304</t>
  </si>
  <si>
    <t>CUST0010</t>
  </si>
  <si>
    <t>ORD00305</t>
  </si>
  <si>
    <t>ORD00306</t>
  </si>
  <si>
    <t>ORD00307</t>
  </si>
  <si>
    <t>CUST0272</t>
  </si>
  <si>
    <t>ORD00308</t>
  </si>
  <si>
    <t>CUST0142</t>
  </si>
  <si>
    <t>ORD00309</t>
  </si>
  <si>
    <t>ORD00310</t>
  </si>
  <si>
    <t>ORD00311</t>
  </si>
  <si>
    <t>ORD00312</t>
  </si>
  <si>
    <t>CUST0059</t>
  </si>
  <si>
    <t>ORD00313</t>
  </si>
  <si>
    <t>CUST0210</t>
  </si>
  <si>
    <t>ORD00314</t>
  </si>
  <si>
    <t>CUST0099</t>
  </si>
  <si>
    <t>ORD00315</t>
  </si>
  <si>
    <t>ORD00316</t>
  </si>
  <si>
    <t>CUST0022</t>
  </si>
  <si>
    <t>ORD00317</t>
  </si>
  <si>
    <t>ORD00318</t>
  </si>
  <si>
    <t>PROD069</t>
  </si>
  <si>
    <t>ORD00319</t>
  </si>
  <si>
    <t>ORD00320</t>
  </si>
  <si>
    <t>CUST0296</t>
  </si>
  <si>
    <t>ORD00321</t>
  </si>
  <si>
    <t>CUST0015</t>
  </si>
  <si>
    <t>ORD00322</t>
  </si>
  <si>
    <t>ORD00323</t>
  </si>
  <si>
    <t>CUST0079</t>
  </si>
  <si>
    <t>ORD00324</t>
  </si>
  <si>
    <t>ORD00325</t>
  </si>
  <si>
    <t>ORD00326</t>
  </si>
  <si>
    <t>ORD00327</t>
  </si>
  <si>
    <t>CUST0041</t>
  </si>
  <si>
    <t>ORD00328</t>
  </si>
  <si>
    <t>CUST0107</t>
  </si>
  <si>
    <t>ORD00329</t>
  </si>
  <si>
    <t>ORD00330</t>
  </si>
  <si>
    <t>ORD00331</t>
  </si>
  <si>
    <t>CUST0174</t>
  </si>
  <si>
    <t>ORD00332</t>
  </si>
  <si>
    <t>ORD00333</t>
  </si>
  <si>
    <t>CUST0237</t>
  </si>
  <si>
    <t>ORD00334</t>
  </si>
  <si>
    <t>ORD00335</t>
  </si>
  <si>
    <t>ORD00336</t>
  </si>
  <si>
    <t>CUST0101</t>
  </si>
  <si>
    <t>ORD00337</t>
  </si>
  <si>
    <t>CUST0153</t>
  </si>
  <si>
    <t>ORD00338</t>
  </si>
  <si>
    <t>ORD00339</t>
  </si>
  <si>
    <t>CUST0245</t>
  </si>
  <si>
    <t>ORD00340</t>
  </si>
  <si>
    <t>CUST0026</t>
  </si>
  <si>
    <t>ORD00341</t>
  </si>
  <si>
    <t>ORD00342</t>
  </si>
  <si>
    <t>ORD00343</t>
  </si>
  <si>
    <t>CUST0293</t>
  </si>
  <si>
    <t>PROD061</t>
  </si>
  <si>
    <t>ORD00344</t>
  </si>
  <si>
    <t>CUST0019</t>
  </si>
  <si>
    <t>ORD00345</t>
  </si>
  <si>
    <t>ORD00346</t>
  </si>
  <si>
    <t>ORD00347</t>
  </si>
  <si>
    <t>ORD00348</t>
  </si>
  <si>
    <t>ORD00349</t>
  </si>
  <si>
    <t>CUST0075</t>
  </si>
  <si>
    <t>ORD00350</t>
  </si>
  <si>
    <t>CUST0226</t>
  </si>
  <si>
    <t>ORD00351</t>
  </si>
  <si>
    <t>CUST0235</t>
  </si>
  <si>
    <t>ORD00352</t>
  </si>
  <si>
    <t>ORD00353</t>
  </si>
  <si>
    <t>ORD00354</t>
  </si>
  <si>
    <t>ORD00355</t>
  </si>
  <si>
    <t>CUST0068</t>
  </si>
  <si>
    <t>ORD00356</t>
  </si>
  <si>
    <t>ORD00357</t>
  </si>
  <si>
    <t>ORD00358</t>
  </si>
  <si>
    <t>ORD00359</t>
  </si>
  <si>
    <t>ORD00360</t>
  </si>
  <si>
    <t>ORD00361</t>
  </si>
  <si>
    <t>ORD00362</t>
  </si>
  <si>
    <t>CUST0250</t>
  </si>
  <si>
    <t>ORD00363</t>
  </si>
  <si>
    <t>ORD00364</t>
  </si>
  <si>
    <t>ORD00365</t>
  </si>
  <si>
    <t>CUST0182</t>
  </si>
  <si>
    <t>ORD00366</t>
  </si>
  <si>
    <t>ORD00367</t>
  </si>
  <si>
    <t>ORD00368</t>
  </si>
  <si>
    <t>ORD00369</t>
  </si>
  <si>
    <t>PROD078</t>
  </si>
  <si>
    <t>ORD00370</t>
  </si>
  <si>
    <t>ORD00371</t>
  </si>
  <si>
    <t>CUST0127</t>
  </si>
  <si>
    <t>ORD00372</t>
  </si>
  <si>
    <t>ORD00373</t>
  </si>
  <si>
    <t>CUST0139</t>
  </si>
  <si>
    <t>ORD00374</t>
  </si>
  <si>
    <t>CUST0255</t>
  </si>
  <si>
    <t>ORD00375</t>
  </si>
  <si>
    <t>ORD00376</t>
  </si>
  <si>
    <t>ORD00377</t>
  </si>
  <si>
    <t>ORD00378</t>
  </si>
  <si>
    <t>CUST0171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</si>
  <si>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</si>
  <si>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</si>
  <si>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</si>
  <si>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</si>
  <si>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</si>
  <si>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</si>
  <si>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</si>
  <si>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</si>
  <si>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CUST0298</t>
  </si>
  <si>
    <t>ORD00387</t>
  </si>
  <si>
    <t>ORD00388</t>
  </si>
  <si>
    <t>CUST0276</t>
  </si>
  <si>
    <t>ORD00389</t>
  </si>
  <si>
    <t>ORD00390</t>
  </si>
  <si>
    <t>ORD00391</t>
  </si>
  <si>
    <t>ORD00392</t>
  </si>
  <si>
    <t>PROD073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</si>
  <si>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</si>
  <si>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</si>
  <si>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</si>
  <si>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</si>
  <si>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</si>
  <si>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</si>
  <si>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</si>
  <si>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</si>
  <si>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</si>
  <si>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</si>
  <si>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</si>
  <si>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CUST0187</t>
  </si>
  <si>
    <t>ORD00404</t>
  </si>
  <si>
    <t>ORD00405</t>
  </si>
  <si>
    <t>ORD00406</t>
  </si>
  <si>
    <t>ORD00407</t>
  </si>
  <si>
    <t>ORD00408</t>
  </si>
  <si>
    <t>CUST0074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</si>
  <si>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</si>
  <si>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</si>
  <si>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</si>
  <si>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</si>
  <si>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</si>
  <si>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</si>
  <si>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</si>
  <si>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</si>
  <si>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</si>
  <si>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</si>
  <si>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</si>
  <si>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PROD100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</si>
  <si>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</si>
  <si>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</si>
  <si>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</si>
  <si>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</si>
  <si>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</si>
  <si>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</si>
  <si>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</si>
  <si>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</si>
  <si>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</si>
  <si>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</si>
  <si>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CUST0197</t>
  </si>
  <si>
    <t>ORD00430</t>
  </si>
  <si>
    <t>ORD00431</t>
  </si>
  <si>
    <t>CUST0188</t>
  </si>
  <si>
    <t>ORD00432</t>
  </si>
  <si>
    <t>ORD00433</t>
  </si>
  <si>
    <t>ORD00434</t>
  </si>
  <si>
    <t>ORD00435</t>
  </si>
  <si>
    <t>ORD00436</t>
  </si>
  <si>
    <t>ORD00437</t>
  </si>
  <si>
    <t>ORD00438</t>
  </si>
  <si>
    <t>CUST0214</t>
  </si>
  <si>
    <t>ORD00439</t>
  </si>
  <si>
    <t>ORD00440</t>
  </si>
  <si>
    <t>ORD00441</t>
  </si>
  <si>
    <t>CUST0236</t>
  </si>
  <si>
    <t>ORD00442</t>
  </si>
  <si>
    <t>ORD00443</t>
  </si>
  <si>
    <t>ORD00444</t>
  </si>
  <si>
    <t>ORD00445</t>
  </si>
  <si>
    <t>ORD00446</t>
  </si>
  <si>
    <t>ORD00447</t>
  </si>
  <si>
    <t>CUST0262</t>
  </si>
  <si>
    <t>ORD00448</t>
  </si>
  <si>
    <t>CUST0149</t>
  </si>
  <si>
    <t>ORD00449</t>
  </si>
  <si>
    <t>ORD00450</t>
  </si>
  <si>
    <t>ORD00451</t>
  </si>
  <si>
    <t>ORD00452</t>
  </si>
  <si>
    <t>CUST0265</t>
  </si>
  <si>
    <t>ORD00453</t>
  </si>
  <si>
    <t>ORD00454</t>
  </si>
  <si>
    <t>ORD00455</t>
  </si>
  <si>
    <t>ORD00456</t>
  </si>
  <si>
    <t>CUST0134</t>
  </si>
  <si>
    <t>ORD00457</t>
  </si>
  <si>
    <t>ORD00458</t>
  </si>
  <si>
    <t>CUST0260</t>
  </si>
  <si>
    <t>ORD00459</t>
  </si>
  <si>
    <t>ORD00460</t>
  </si>
  <si>
    <t>CUST0090</t>
  </si>
  <si>
    <t>ORD00461</t>
  </si>
  <si>
    <t>ORD00462</t>
  </si>
  <si>
    <t>ORD00463</t>
  </si>
  <si>
    <t>ORD00464</t>
  </si>
  <si>
    <t>CUST0205</t>
  </si>
  <si>
    <t>ORD00465</t>
  </si>
  <si>
    <t>ORD00466</t>
  </si>
  <si>
    <t>ORD00467</t>
  </si>
  <si>
    <t>ORD00468</t>
  </si>
  <si>
    <t>CUST0098</t>
  </si>
  <si>
    <t>ORD00469</t>
  </si>
  <si>
    <t>ORD00470</t>
  </si>
  <si>
    <t>PROD081</t>
  </si>
  <si>
    <t>ORD00471</t>
  </si>
  <si>
    <t>CUST0273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</si>
  <si>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</si>
  <si>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</si>
  <si>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</si>
  <si>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</si>
  <si>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</si>
  <si>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</si>
  <si>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</si>
  <si>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</si>
  <si>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</si>
  <si>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CUST0070</t>
  </si>
  <si>
    <t>ORD00481</t>
  </si>
  <si>
    <t>ORD00482</t>
  </si>
  <si>
    <t>CUST0201</t>
  </si>
  <si>
    <t>ORD00483</t>
  </si>
  <si>
    <t>ORD00484</t>
  </si>
  <si>
    <t>ORD00485</t>
  </si>
  <si>
    <t>ORD00486</t>
  </si>
  <si>
    <t>CUST0129</t>
  </si>
  <si>
    <t>ORD00487</t>
  </si>
  <si>
    <t>CUST0166</t>
  </si>
  <si>
    <t>ORD00488</t>
  </si>
  <si>
    <t>ORD00489</t>
  </si>
  <si>
    <t>ORD00490</t>
  </si>
  <si>
    <t>CUST0035</t>
  </si>
  <si>
    <t>ORD00491</t>
  </si>
  <si>
    <t>ORD00492</t>
  </si>
  <si>
    <t>ORD00493</t>
  </si>
  <si>
    <t>ORD00494</t>
  </si>
  <si>
    <t>ORD00495</t>
  </si>
  <si>
    <t>CUST0036</t>
  </si>
  <si>
    <t>ORD00496</t>
  </si>
  <si>
    <t>ORD00497</t>
  </si>
  <si>
    <t>CUST0288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</si>
  <si>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</si>
  <si>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</si>
  <si>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</si>
  <si>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</si>
  <si>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</si>
  <si>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</si>
  <si>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</si>
  <si>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</si>
  <si>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</si>
  <si>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</si>
  <si>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CUST0228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</si>
  <si>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</si>
  <si>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</si>
  <si>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</si>
  <si>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</si>
  <si>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</si>
  <si>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</si>
  <si>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</si>
  <si>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</si>
  <si>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</si>
  <si>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CUST0266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</si>
  <si>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</si>
  <si>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</si>
  <si>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</si>
  <si>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</si>
  <si>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</si>
  <si>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</si>
  <si>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</si>
  <si>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</si>
  <si>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</si>
  <si>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</si>
  <si>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</si>
  <si>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</si>
  <si>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</si>
  <si>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</si>
  <si>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CUST0147</t>
  </si>
  <si>
    <t>ORD00531</t>
  </si>
  <si>
    <t>ORD00532</t>
  </si>
  <si>
    <t>CUST0227</t>
  </si>
  <si>
    <t>ORD00533</t>
  </si>
  <si>
    <t>CUST0199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</si>
  <si>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</si>
  <si>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</si>
  <si>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</si>
  <si>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</si>
  <si>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</si>
  <si>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</si>
  <si>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</si>
  <si>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</si>
  <si>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</si>
  <si>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CUST0002</t>
  </si>
  <si>
    <t>ORD00543</t>
  </si>
  <si>
    <t>ORD00544</t>
  </si>
  <si>
    <t>ORD00545</t>
  </si>
  <si>
    <t>ORD00546</t>
  </si>
  <si>
    <t>PROD057</t>
  </si>
  <si>
    <t>ORD00547</t>
  </si>
  <si>
    <t>CUST0291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</si>
  <si>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</si>
  <si>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</si>
  <si>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</si>
  <si>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</si>
  <si>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</si>
  <si>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</si>
  <si>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</si>
  <si>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</si>
  <si>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</si>
  <si>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</si>
  <si>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</si>
  <si>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</si>
  <si>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</si>
  <si>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</si>
  <si>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CUST0279</t>
  </si>
  <si>
    <t>ORD00562</t>
  </si>
  <si>
    <t>ORD00563</t>
  </si>
  <si>
    <t>ORD00564</t>
  </si>
  <si>
    <t>ORD00565</t>
  </si>
  <si>
    <t>CUST0001</t>
  </si>
  <si>
    <t>ORD00566</t>
  </si>
  <si>
    <t>ORD00567</t>
  </si>
  <si>
    <t>ORD00568</t>
  </si>
  <si>
    <t>ORD00569</t>
  </si>
  <si>
    <t>ORD00570</t>
  </si>
  <si>
    <t>ORD00571</t>
  </si>
  <si>
    <t>CUST0045</t>
  </si>
  <si>
    <t>ORD00572</t>
  </si>
  <si>
    <t>CUST0078</t>
  </si>
  <si>
    <t>ORD00573</t>
  </si>
  <si>
    <t>ORD00574</t>
  </si>
  <si>
    <t>ORD00575</t>
  </si>
  <si>
    <t>ORD00576</t>
  </si>
  <si>
    <t>ORD00577</t>
  </si>
  <si>
    <t>ORD00578</t>
  </si>
  <si>
    <t>CUST0140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</si>
  <si>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</si>
  <si>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</si>
  <si>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</si>
  <si>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</si>
  <si>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</si>
  <si>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</si>
  <si>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</si>
  <si>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</si>
  <si>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</si>
  <si>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</si>
  <si>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</si>
  <si>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</si>
  <si>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</si>
  <si>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</si>
  <si>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CUST0141</t>
  </si>
  <si>
    <t>ORD00593</t>
  </si>
  <si>
    <t>ORD00594</t>
  </si>
  <si>
    <t>ORD00595</t>
  </si>
  <si>
    <t>ORD00596</t>
  </si>
  <si>
    <t>ORD00597</t>
  </si>
  <si>
    <t>ORD00598</t>
  </si>
  <si>
    <t>CUST0189</t>
  </si>
  <si>
    <t>ORD00599</t>
  </si>
  <si>
    <t>ORD00600</t>
  </si>
  <si>
    <t>ORD00601</t>
  </si>
  <si>
    <t>ORD00602</t>
  </si>
  <si>
    <t>ORD00603</t>
  </si>
  <si>
    <t>CUST0204</t>
  </si>
  <si>
    <t>ORD00604</t>
  </si>
  <si>
    <t>ORD00605</t>
  </si>
  <si>
    <t>ORD00606</t>
  </si>
  <si>
    <t>ORD00607</t>
  </si>
  <si>
    <t>ORD00608</t>
  </si>
  <si>
    <t>CUST0185</t>
  </si>
  <si>
    <t>ORD00609</t>
  </si>
  <si>
    <t>ORD00610</t>
  </si>
  <si>
    <t>CUST0112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</si>
  <si>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</si>
  <si>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</si>
  <si>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</si>
  <si>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</si>
  <si>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</si>
  <si>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</si>
  <si>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</si>
  <si>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</si>
  <si>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</si>
  <si>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</si>
  <si>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</si>
  <si>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CUST0179</t>
  </si>
  <si>
    <t>ORD00622</t>
  </si>
  <si>
    <t>ORD00623</t>
  </si>
  <si>
    <t>ORD00624</t>
  </si>
  <si>
    <t>CUST0146</t>
  </si>
  <si>
    <t>ORD00625</t>
  </si>
  <si>
    <t>CUST0092</t>
  </si>
  <si>
    <t>ORD00626</t>
  </si>
  <si>
    <t>ORD00627</t>
  </si>
  <si>
    <t>ORD00628</t>
  </si>
  <si>
    <t>ORD00629</t>
  </si>
  <si>
    <t>ORD00630</t>
  </si>
  <si>
    <t>ORD00631</t>
  </si>
  <si>
    <t>ORD00632</t>
  </si>
  <si>
    <t>PROD027</t>
  </si>
  <si>
    <t>ORD00633</t>
  </si>
  <si>
    <t>ORD00634</t>
  </si>
  <si>
    <t>ORD00635</t>
  </si>
  <si>
    <t>ORD00636</t>
  </si>
  <si>
    <t>ORD00637</t>
  </si>
  <si>
    <t>ORD00638</t>
  </si>
  <si>
    <t>CUST0183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</si>
  <si>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</si>
  <si>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</si>
  <si>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</si>
  <si>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</si>
  <si>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</si>
  <si>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</si>
  <si>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</si>
  <si>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</si>
  <si>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</si>
  <si>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</si>
  <si>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</si>
  <si>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</si>
  <si>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</si>
  <si>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</si>
  <si>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CUST0209</t>
  </si>
  <si>
    <t>ORD00653</t>
  </si>
  <si>
    <t>ORD00654</t>
  </si>
  <si>
    <t>ORD00655</t>
  </si>
  <si>
    <t>ORD00656</t>
  </si>
  <si>
    <t>ORD00657</t>
  </si>
  <si>
    <t>ORD00658</t>
  </si>
  <si>
    <t>ORD00659</t>
  </si>
  <si>
    <t>CUST0230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</si>
  <si>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</si>
  <si>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</si>
  <si>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</si>
  <si>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</si>
  <si>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</si>
  <si>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</si>
  <si>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</si>
  <si>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</si>
  <si>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</si>
  <si>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</si>
  <si>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</si>
  <si>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CUST0138</t>
  </si>
  <si>
    <t>ORD00671</t>
  </si>
  <si>
    <t>ORD00672</t>
  </si>
  <si>
    <t>CUST0029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</si>
  <si>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</si>
  <si>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</si>
  <si>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</si>
  <si>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</si>
  <si>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</si>
  <si>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</si>
  <si>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</si>
  <si>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</si>
  <si>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CUST0158</t>
  </si>
  <si>
    <t>ORD00681</t>
  </si>
  <si>
    <t>ORD00682</t>
  </si>
  <si>
    <t>CUST0215</t>
  </si>
  <si>
    <t>ORD00683</t>
  </si>
  <si>
    <t>ORD00684</t>
  </si>
  <si>
    <t>ORD00685</t>
  </si>
  <si>
    <t>CUST0285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</si>
  <si>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</si>
  <si>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</si>
  <si>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</si>
  <si>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</si>
  <si>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</si>
  <si>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</si>
  <si>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</si>
  <si>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</si>
  <si>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</si>
  <si>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CUST0096</t>
  </si>
  <si>
    <t>ORD00695</t>
  </si>
  <si>
    <t>ORD00696</t>
  </si>
  <si>
    <t>ORD00697</t>
  </si>
  <si>
    <t>ORD00698</t>
  </si>
  <si>
    <t>ORD00699</t>
  </si>
  <si>
    <t>CUST0065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</si>
  <si>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</si>
  <si>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</si>
  <si>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</si>
  <si>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</si>
  <si>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</si>
  <si>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</si>
  <si>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</si>
  <si>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</si>
  <si>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</si>
  <si>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</si>
  <si>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</si>
  <si>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</si>
  <si>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</si>
  <si>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</si>
  <si>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</si>
  <si>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</si>
  <si>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</si>
  <si>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</si>
  <si>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</si>
  <si>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</si>
  <si>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</si>
  <si>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</si>
  <si>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CUST0160</t>
  </si>
  <si>
    <t>ORD00722</t>
  </si>
  <si>
    <t>ORD00723</t>
  </si>
  <si>
    <t>CUST0217</t>
  </si>
  <si>
    <t>ORD00724</t>
  </si>
  <si>
    <t>ORD00725</t>
  </si>
  <si>
    <t>ORD00726</t>
  </si>
  <si>
    <t>ORD00727</t>
  </si>
  <si>
    <t>ORD00728</t>
  </si>
  <si>
    <t>ORD00729</t>
  </si>
  <si>
    <t>CUST0156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</si>
  <si>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</si>
  <si>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</si>
  <si>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</si>
  <si>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</si>
  <si>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</si>
  <si>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</si>
  <si>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</si>
  <si>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</si>
  <si>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</si>
  <si>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</si>
  <si>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</si>
  <si>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</si>
  <si>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</si>
  <si>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</si>
  <si>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</si>
  <si>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</si>
  <si>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</si>
  <si>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</si>
  <si>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</si>
  <si>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</si>
  <si>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</si>
  <si>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</si>
  <si>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</si>
  <si>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</si>
  <si>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</si>
  <si>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</si>
  <si>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</si>
  <si>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</si>
  <si>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</si>
  <si>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</si>
  <si>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</si>
  <si>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CUST0221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</si>
  <si>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</si>
  <si>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</si>
  <si>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</si>
  <si>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</si>
  <si>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</si>
  <si>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</si>
  <si>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</si>
  <si>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</si>
  <si>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</si>
  <si>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</si>
  <si>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</si>
  <si>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CUST0218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</si>
  <si>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</si>
  <si>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</si>
  <si>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</si>
  <si>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</si>
  <si>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</si>
  <si>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</si>
  <si>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</si>
  <si>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</si>
  <si>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</si>
  <si>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</si>
  <si>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</si>
  <si>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CUST0207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</si>
  <si>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</si>
  <si>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</si>
  <si>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</si>
  <si>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</si>
  <si>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</si>
  <si>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</si>
  <si>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</si>
  <si>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</si>
  <si>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</si>
  <si>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</si>
  <si>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</si>
  <si>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</si>
  <si>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</si>
  <si>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</si>
  <si>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</si>
  <si>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</si>
  <si>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</si>
  <si>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</si>
  <si>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</si>
  <si>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</si>
  <si>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</si>
  <si>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</si>
  <si>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</si>
  <si>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</si>
  <si>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</si>
  <si>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</si>
  <si>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</si>
  <si>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</si>
  <si>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</si>
  <si>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</si>
  <si>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</si>
  <si>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</si>
  <si>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</si>
  <si>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</si>
  <si>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</si>
  <si>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</si>
  <si>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</si>
  <si>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</si>
  <si>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</si>
  <si>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</si>
  <si>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</si>
  <si>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</si>
  <si>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</si>
  <si>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</si>
  <si>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</si>
  <si>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</si>
  <si>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</si>
  <si>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</si>
  <si>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</si>
  <si>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</si>
  <si>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</si>
  <si>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</si>
  <si>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</si>
  <si>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</si>
  <si>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</si>
  <si>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</si>
  <si>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</si>
  <si>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</si>
  <si>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</si>
  <si>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</si>
  <si>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</si>
  <si>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</si>
  <si>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</si>
  <si>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CUST0159</t>
  </si>
  <si>
    <t>ORD00846</t>
  </si>
  <si>
    <t>ORD00847</t>
  </si>
  <si>
    <t>ORD00848</t>
  </si>
  <si>
    <t>ORD00849</t>
  </si>
  <si>
    <t>ORD00850</t>
  </si>
  <si>
    <t>CUST0154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</si>
  <si>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</si>
  <si>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</si>
  <si>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</si>
  <si>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</si>
  <si>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</si>
  <si>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</si>
  <si>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</si>
  <si>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</si>
  <si>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CUST0050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</si>
  <si>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</si>
  <si>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</si>
  <si>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</si>
  <si>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</si>
  <si>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</si>
  <si>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</si>
  <si>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</si>
  <si>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</si>
  <si>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</si>
  <si>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</si>
  <si>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</si>
  <si>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</si>
  <si>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</si>
  <si>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</si>
  <si>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</si>
  <si>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</si>
  <si>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</si>
  <si>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</si>
  <si>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</si>
  <si>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</si>
  <si>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</si>
  <si>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CUST0012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</si>
  <si>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</si>
  <si>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</si>
  <si>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</si>
  <si>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</si>
  <si>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</si>
  <si>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</si>
  <si>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</si>
  <si>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</si>
  <si>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</si>
  <si>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</si>
  <si>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</si>
  <si>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</si>
  <si>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</si>
  <si>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</si>
  <si>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</si>
  <si>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</si>
  <si>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</si>
  <si>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</si>
  <si>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</si>
  <si>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CUST0040</t>
  </si>
  <si>
    <t>ORD00899</t>
  </si>
  <si>
    <t>ORD00900</t>
  </si>
  <si>
    <t>ORD00901</t>
  </si>
  <si>
    <t>ORD00902</t>
  </si>
  <si>
    <t>ORD00903</t>
  </si>
  <si>
    <t>ORD00904</t>
  </si>
  <si>
    <t>ORD00905</t>
  </si>
  <si>
    <t>CUST0042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</si>
  <si>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</si>
  <si>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</si>
  <si>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</si>
  <si>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</si>
  <si>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</si>
  <si>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</si>
  <si>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</si>
  <si>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</si>
  <si>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</si>
  <si>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</si>
  <si>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</si>
  <si>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</si>
  <si>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</si>
  <si>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</si>
  <si>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</si>
  <si>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</si>
  <si>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</si>
  <si>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</si>
  <si>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</si>
  <si>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</si>
  <si>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</si>
  <si>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</si>
  <si>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</si>
  <si>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</si>
  <si>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</si>
  <si>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</si>
  <si>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</si>
  <si>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</si>
  <si>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</si>
  <si>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</si>
  <si>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</si>
  <si>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</si>
  <si>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</si>
  <si>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</si>
  <si>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</si>
  <si>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</si>
  <si>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</si>
  <si>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</si>
  <si>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</si>
  <si>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</si>
  <si>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</si>
  <si>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</si>
  <si>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</si>
  <si>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</si>
  <si>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</si>
  <si>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</si>
  <si>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</si>
  <si>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CUST0264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</si>
  <si>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</si>
  <si>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</si>
  <si>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</si>
  <si>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</si>
  <si>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</si>
  <si>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</si>
  <si>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</si>
  <si>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</si>
  <si>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</si>
  <si>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</si>
  <si>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</si>
  <si>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</si>
  <si>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</si>
  <si>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</si>
  <si>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</si>
  <si>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</si>
  <si>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</si>
  <si>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</si>
  <si>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</si>
  <si>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</si>
  <si>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</si>
  <si>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</si>
  <si>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</si>
  <si>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</si>
  <si>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</si>
  <si>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</si>
  <si>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CUST0278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</si>
  <si>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</si>
  <si>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</si>
  <si>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</si>
  <si>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</si>
  <si>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</si>
  <si>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</si>
  <si>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</si>
  <si>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</si>
  <si>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</si>
  <si>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</si>
  <si>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</si>
  <si>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</si>
  <si>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</si>
  <si>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</si>
  <si>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</si>
  <si>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CUST0176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</si>
  <si>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</si>
  <si>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</si>
  <si>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</si>
  <si>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</si>
  <si>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</si>
  <si>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</si>
  <si>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</si>
  <si>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</si>
  <si>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</si>
  <si>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</si>
  <si>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</si>
  <si>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</si>
  <si>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</si>
  <si>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</si>
  <si>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</si>
  <si>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</si>
  <si>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</si>
  <si>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</si>
  <si>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</si>
  <si>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</si>
  <si>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</si>
  <si>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</si>
  <si>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</si>
  <si>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</si>
  <si>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</si>
  <si>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</si>
  <si>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</si>
  <si>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</si>
  <si>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</si>
  <si>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</si>
  <si>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</si>
  <si>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</si>
  <si>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</si>
  <si>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</si>
  <si>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</si>
  <si>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CUST0086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</si>
  <si>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</si>
  <si>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</si>
  <si>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</si>
  <si>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</si>
  <si>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</si>
  <si>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</si>
  <si>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</si>
  <si>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</si>
  <si>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</si>
  <si>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</si>
  <si>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</si>
  <si>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</si>
  <si>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</si>
  <si>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</si>
  <si>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</si>
  <si>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</si>
  <si>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</si>
  <si>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</si>
  <si>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</si>
  <si>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</si>
  <si>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</si>
  <si>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</si>
  <si>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</si>
  <si>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</si>
  <si>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</si>
  <si>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CUST0167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</si>
  <si>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</si>
  <si>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</si>
  <si>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</si>
  <si>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</si>
  <si>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</si>
  <si>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</si>
  <si>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</si>
  <si>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</si>
  <si>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</si>
  <si>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</si>
  <si>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</si>
  <si>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</si>
  <si>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</si>
  <si>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</si>
  <si>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</si>
  <si>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</si>
  <si>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</si>
  <si>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</si>
  <si>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</si>
  <si>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</si>
  <si>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</si>
  <si>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</si>
  <si>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</si>
  <si>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</si>
  <si>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</si>
  <si>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</si>
  <si>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</si>
  <si>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</si>
  <si>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</si>
  <si>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</si>
  <si>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CUST0110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</si>
  <si>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</si>
  <si>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</si>
  <si>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</si>
  <si>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</si>
  <si>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</si>
  <si>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</si>
  <si>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</si>
  <si>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</si>
  <si>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</si>
  <si>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</si>
  <si>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</si>
  <si>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</si>
  <si>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</si>
  <si>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</si>
  <si>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</si>
  <si>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</si>
  <si>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</si>
  <si>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</si>
  <si>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</si>
  <si>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</si>
  <si>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</si>
  <si>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</si>
  <si>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</si>
  <si>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</si>
  <si>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</si>
  <si>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</si>
  <si>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</si>
  <si>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</si>
  <si>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</si>
  <si>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</si>
  <si>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</si>
  <si>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</si>
  <si>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</si>
  <si>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</si>
  <si>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</si>
  <si>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</si>
  <si>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</si>
  <si>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CUST0155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</si>
  <si>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</si>
  <si>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</si>
  <si>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</si>
  <si>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</si>
  <si>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</si>
  <si>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</si>
  <si>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</si>
  <si>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</si>
  <si>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</si>
  <si>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</si>
  <si>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</si>
  <si>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</si>
  <si>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</si>
  <si>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</si>
  <si>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</si>
  <si>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</si>
  <si>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</si>
  <si>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</si>
  <si>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</si>
  <si>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</si>
  <si>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</si>
  <si>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</si>
  <si>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</si>
  <si>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</si>
  <si>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</si>
  <si>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</si>
  <si>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</si>
  <si>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</si>
  <si>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</si>
  <si>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</si>
  <si>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</si>
  <si>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</si>
  <si>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</si>
  <si>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</si>
  <si>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</si>
  <si>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CUST0258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</si>
  <si>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</si>
  <si>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</si>
  <si>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</si>
  <si>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</si>
  <si>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</si>
  <si>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</si>
  <si>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</si>
  <si>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</si>
  <si>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</si>
  <si>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</si>
  <si>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</si>
  <si>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</si>
  <si>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</si>
  <si>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</si>
  <si>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</si>
  <si>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</si>
  <si>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</si>
  <si>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</si>
  <si>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</si>
  <si>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</si>
  <si>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</si>
  <si>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</si>
  <si>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</si>
  <si>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</si>
  <si>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</si>
  <si>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</si>
  <si>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</si>
  <si>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CUST0225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</si>
  <si>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</si>
  <si>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</si>
  <si>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</si>
  <si>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</si>
  <si>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</si>
  <si>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</si>
  <si>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</si>
  <si>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</si>
  <si>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</si>
  <si>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</si>
  <si>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</si>
  <si>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</si>
  <si>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</si>
  <si>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</si>
  <si>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</si>
  <si>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</si>
  <si>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</si>
  <si>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</si>
  <si>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</si>
  <si>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</si>
  <si>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</si>
  <si>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</si>
  <si>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</si>
  <si>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</si>
  <si>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</si>
  <si>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</si>
  <si>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</si>
  <si>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</si>
  <si>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</si>
  <si>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</si>
  <si>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CUST0151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</si>
  <si>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</si>
  <si>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</si>
  <si>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</si>
  <si>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</si>
  <si>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</si>
  <si>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</si>
  <si>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</si>
  <si>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</si>
  <si>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</si>
  <si>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</si>
  <si>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</si>
  <si>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</si>
  <si>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</si>
  <si>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</si>
  <si>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</si>
  <si>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</si>
  <si>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</si>
  <si>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</si>
  <si>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</si>
  <si>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</si>
  <si>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</si>
  <si>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</si>
  <si>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</si>
  <si>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</si>
  <si>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</si>
  <si>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</si>
  <si>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CUST0300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</si>
  <si>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</si>
  <si>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</si>
  <si>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</si>
  <si>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</si>
  <si>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</si>
  <si>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</si>
  <si>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</si>
  <si>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</si>
  <si>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</si>
  <si>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</si>
  <si>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</si>
  <si>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</si>
  <si>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</si>
  <si>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</si>
  <si>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</si>
  <si>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</si>
  <si>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</si>
  <si>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</si>
  <si>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</si>
  <si>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</si>
  <si>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</si>
  <si>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</si>
  <si>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</si>
  <si>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</si>
  <si>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</si>
  <si>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</si>
  <si>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</si>
  <si>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</si>
  <si>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</si>
  <si>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</si>
  <si>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</si>
  <si>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</si>
  <si>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</si>
  <si>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</si>
  <si>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</si>
  <si>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</si>
  <si>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</si>
  <si>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</si>
  <si>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</si>
  <si>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</si>
  <si>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</si>
  <si>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</si>
  <si>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</si>
  <si>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</si>
  <si>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</si>
  <si>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</si>
  <si>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</si>
  <si>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</si>
  <si>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</si>
  <si>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</si>
  <si>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</si>
  <si>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</si>
  <si>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</si>
  <si>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</si>
  <si>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</si>
  <si>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</si>
  <si>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</si>
  <si>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</si>
  <si>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</si>
  <si>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</si>
  <si>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</si>
  <si>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</si>
  <si>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</si>
  <si>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</si>
  <si>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</si>
  <si>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</si>
  <si>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</si>
  <si>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</si>
  <si>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</si>
  <si>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</si>
  <si>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</si>
  <si>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</si>
  <si>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</si>
  <si>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</si>
  <si>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</si>
  <si>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</si>
  <si>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</si>
  <si>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</si>
  <si>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CUST0014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</si>
  <si>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</si>
  <si>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</si>
  <si>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</si>
  <si>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</si>
  <si>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</si>
  <si>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</si>
  <si>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</si>
  <si>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</si>
  <si>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</si>
  <si>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</si>
  <si>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</si>
  <si>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</si>
  <si>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</si>
  <si>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</si>
  <si>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</si>
  <si>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</si>
  <si>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</si>
  <si>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</si>
  <si>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</si>
  <si>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</si>
  <si>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</si>
  <si>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</si>
  <si>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</si>
  <si>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</si>
  <si>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</si>
  <si>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</si>
  <si>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</si>
  <si>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</si>
  <si>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</si>
  <si>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</si>
  <si>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</si>
  <si>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</si>
  <si>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</si>
  <si>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</si>
  <si>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</si>
  <si>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</si>
  <si>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</si>
  <si>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</si>
  <si>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</si>
  <si>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</si>
  <si>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</si>
  <si>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</si>
  <si>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</si>
  <si>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</si>
  <si>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</si>
  <si>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</si>
  <si>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</si>
  <si>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</si>
  <si>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</si>
  <si>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</si>
  <si>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</si>
  <si>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</si>
  <si>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</si>
  <si>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</si>
  <si>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</si>
  <si>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</si>
  <si>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</si>
  <si>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</si>
  <si>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</si>
  <si>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</si>
  <si>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</si>
  <si>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</si>
  <si>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</si>
  <si>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CUST0234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</si>
  <si>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</si>
  <si>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</si>
  <si>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</si>
  <si>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</si>
  <si>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</si>
  <si>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</si>
  <si>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</si>
  <si>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</si>
  <si>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</si>
  <si>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</si>
  <si>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</si>
  <si>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</si>
  <si>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</si>
  <si>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</si>
  <si>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</si>
  <si>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</si>
  <si>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</si>
  <si>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</si>
  <si>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</si>
  <si>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</si>
  <si>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</si>
  <si>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</si>
  <si>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</si>
  <si>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</si>
  <si>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</si>
  <si>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</si>
  <si>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</si>
  <si>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</si>
  <si>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</si>
  <si>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</si>
  <si>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</si>
  <si>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</si>
  <si>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</si>
  <si>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</si>
  <si>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CUST0133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</si>
  <si>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</si>
  <si>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</si>
  <si>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</si>
  <si>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</si>
  <si>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</si>
  <si>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</si>
  <si>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</si>
  <si>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</si>
  <si>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</si>
  <si>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</si>
  <si>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</si>
  <si>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</si>
  <si>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</si>
  <si>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</si>
  <si>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</si>
  <si>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</si>
  <si>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</si>
  <si>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</si>
  <si>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</si>
  <si>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</si>
  <si>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</si>
  <si>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</si>
  <si>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</si>
  <si>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</si>
  <si>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</si>
  <si>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</si>
  <si>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</si>
  <si>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</si>
  <si>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</si>
  <si>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</si>
  <si>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</si>
  <si>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</si>
  <si>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</si>
  <si>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</si>
  <si>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</si>
  <si>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</si>
  <si>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</si>
  <si>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</si>
  <si>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</si>
  <si>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</si>
  <si>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</si>
  <si>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</si>
  <si>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</si>
  <si>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</si>
  <si>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</si>
  <si>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</si>
  <si>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</si>
  <si>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</si>
  <si>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</si>
  <si>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</si>
  <si>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</si>
  <si>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</si>
  <si>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</si>
  <si>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</si>
  <si>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</si>
  <si>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</si>
  <si>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</si>
  <si>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</si>
  <si>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</si>
  <si>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</si>
  <si>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</si>
  <si>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</si>
  <si>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</si>
  <si>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</si>
  <si>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</si>
  <si>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</si>
  <si>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</si>
  <si>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</si>
  <si>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</si>
  <si>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</si>
  <si>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</si>
  <si>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</si>
  <si>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</si>
  <si>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</si>
  <si>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</si>
  <si>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</si>
  <si>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</si>
  <si>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</si>
  <si>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</si>
  <si>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</si>
  <si>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</si>
  <si>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</si>
  <si>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</si>
  <si>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</si>
  <si>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</si>
  <si>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</si>
  <si>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</si>
  <si>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</si>
  <si>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</si>
  <si>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</si>
  <si>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</si>
  <si>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</si>
  <si>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</si>
  <si>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</si>
  <si>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</si>
  <si>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</si>
  <si>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</si>
  <si>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</si>
  <si>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</si>
  <si>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</si>
  <si>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</si>
  <si>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</si>
  <si>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</si>
  <si>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</si>
  <si>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</si>
  <si>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</si>
  <si>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</si>
  <si>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</si>
  <si>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</si>
  <si>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</si>
  <si>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</si>
  <si>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</si>
  <si>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</si>
  <si>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</si>
  <si>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</si>
  <si>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</si>
  <si>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</si>
  <si>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</si>
  <si>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</si>
  <si>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</si>
  <si>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</si>
  <si>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</si>
  <si>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</si>
  <si>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</si>
  <si>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</si>
  <si>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</si>
  <si>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</si>
  <si>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</si>
  <si>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</si>
  <si>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</si>
  <si>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</si>
  <si>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</si>
  <si>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</si>
  <si>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</si>
  <si>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</si>
  <si>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</si>
  <si>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</si>
  <si>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</si>
  <si>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</si>
  <si>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</si>
  <si>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</si>
  <si>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</si>
  <si>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</si>
  <si>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</si>
  <si>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</si>
  <si>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</si>
  <si>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</si>
  <si>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</si>
  <si>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</si>
  <si>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</si>
  <si>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</si>
  <si>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</si>
  <si>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</si>
  <si>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</si>
  <si>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</si>
  <si>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</si>
  <si>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</si>
  <si>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</si>
  <si>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</si>
  <si>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</si>
  <si>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</si>
  <si>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</si>
  <si>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</si>
  <si>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</si>
  <si>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</si>
  <si>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</si>
  <si>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</si>
  <si>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</si>
  <si>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</si>
  <si>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</si>
  <si>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</si>
  <si>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</si>
  <si>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</si>
  <si>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</si>
  <si>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</si>
  <si>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</si>
  <si>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</si>
  <si>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</si>
  <si>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</si>
  <si>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</si>
  <si>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</si>
  <si>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</si>
  <si>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</si>
  <si>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</si>
  <si>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</si>
  <si>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</si>
  <si>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</si>
  <si>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</si>
  <si>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</si>
  <si>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</si>
  <si>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</si>
  <si>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</si>
  <si>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</si>
  <si>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</si>
  <si>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</si>
  <si>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</si>
  <si>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CUST0048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</si>
  <si>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</si>
  <si>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</si>
  <si>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</si>
  <si>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</si>
  <si>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</si>
  <si>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</si>
  <si>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</si>
  <si>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</si>
  <si>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</si>
  <si>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</si>
  <si>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</si>
  <si>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</si>
  <si>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</si>
  <si>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</si>
  <si>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</si>
  <si>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</si>
  <si>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</si>
  <si>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</si>
  <si>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</si>
  <si>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</si>
  <si>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</si>
  <si>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</si>
  <si>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</si>
  <si>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</si>
  <si>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</si>
  <si>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</si>
  <si>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</si>
  <si>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</si>
  <si>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</si>
  <si>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</si>
  <si>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</si>
  <si>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</si>
  <si>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</si>
  <si>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</si>
  <si>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</si>
  <si>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</si>
  <si>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</si>
  <si>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</si>
  <si>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</si>
  <si>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</si>
  <si>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</si>
  <si>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</si>
  <si>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</si>
  <si>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</si>
  <si>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</si>
  <si>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</si>
  <si>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</si>
  <si>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</si>
  <si>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</si>
  <si>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</si>
  <si>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</si>
  <si>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</si>
  <si>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</si>
  <si>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</si>
  <si>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</si>
  <si>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</si>
  <si>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</si>
  <si>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</si>
  <si>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</si>
  <si>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</si>
  <si>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</si>
  <si>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</si>
  <si>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</si>
  <si>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</si>
  <si>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</si>
  <si>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</si>
  <si>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</si>
  <si>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</si>
  <si>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</si>
  <si>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</si>
  <si>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</si>
  <si>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</si>
  <si>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</si>
  <si>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</si>
  <si>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</si>
  <si>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</si>
  <si>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</si>
  <si>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</si>
  <si>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</si>
  <si>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</si>
  <si>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</si>
  <si>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</si>
  <si>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</si>
  <si>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</si>
  <si>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</si>
  <si>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</si>
  <si>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</si>
  <si>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</si>
  <si>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</si>
  <si>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</si>
  <si>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</si>
  <si>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</si>
  <si>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</si>
  <si>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</si>
  <si>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</si>
  <si>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</si>
  <si>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</si>
  <si>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</si>
  <si>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</si>
  <si>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</si>
  <si>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</si>
  <si>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</si>
  <si>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</si>
  <si>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</si>
  <si>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</si>
  <si>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</si>
  <si>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</si>
  <si>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</si>
  <si>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</si>
  <si>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</si>
  <si>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</si>
  <si>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</si>
  <si>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</si>
  <si>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</si>
  <si>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</si>
  <si>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</si>
  <si>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</si>
  <si>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</si>
  <si>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</si>
  <si>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</si>
  <si>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</si>
  <si>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</si>
  <si>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</si>
  <si>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</si>
  <si>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</si>
  <si>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</si>
  <si>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</si>
  <si>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</si>
  <si>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</si>
  <si>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</si>
  <si>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</si>
  <si>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</si>
  <si>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</si>
  <si>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</si>
  <si>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</si>
  <si>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</si>
  <si>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</si>
  <si>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</si>
  <si>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</si>
  <si>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</si>
  <si>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</si>
  <si>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</si>
  <si>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</si>
  <si>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</si>
  <si>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</si>
  <si>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</si>
  <si>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</si>
  <si>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</si>
  <si>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</si>
  <si>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</si>
  <si>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</si>
  <si>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</si>
  <si>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</si>
  <si>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</si>
  <si>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</si>
  <si>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</si>
  <si>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</si>
  <si>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</si>
  <si>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</si>
  <si>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</si>
  <si>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</si>
  <si>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</si>
  <si>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</si>
  <si>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</si>
  <si>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</si>
  <si>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</si>
  <si>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</si>
  <si>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</si>
  <si>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</si>
  <si>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</si>
  <si>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</si>
  <si>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</si>
  <si>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</si>
  <si>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</si>
  <si>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</si>
  <si>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</si>
  <si>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</si>
  <si>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</si>
  <si>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</si>
  <si>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</si>
  <si>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</si>
  <si>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</si>
  <si>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</si>
  <si>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</si>
  <si>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</si>
  <si>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</si>
  <si>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</si>
  <si>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</si>
  <si>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</si>
  <si>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</si>
  <si>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</si>
  <si>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</si>
  <si>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</si>
  <si>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</si>
  <si>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</si>
  <si>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</si>
  <si>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</si>
  <si>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</si>
  <si>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</si>
  <si>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</si>
  <si>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</si>
  <si>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</si>
  <si>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</si>
  <si>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</si>
  <si>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</si>
  <si>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</si>
  <si>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</si>
  <si>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</si>
  <si>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</si>
  <si>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</si>
  <si>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</si>
  <si>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</si>
  <si>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</si>
  <si>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</si>
  <si>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</si>
  <si>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</si>
  <si>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</si>
  <si>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</si>
  <si>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</si>
  <si>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</si>
  <si>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</si>
  <si>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</si>
  <si>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</si>
  <si>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</si>
  <si>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</si>
  <si>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</si>
  <si>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</si>
  <si>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</si>
  <si>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</si>
  <si>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</si>
  <si>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</si>
  <si>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</si>
  <si>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</si>
  <si>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</si>
  <si>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</si>
  <si>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</si>
  <si>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</si>
  <si>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</si>
  <si>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</si>
  <si>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</si>
  <si>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</si>
  <si>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</si>
  <si>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</si>
  <si>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</si>
  <si>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</si>
  <si>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</si>
  <si>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</si>
  <si>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</si>
  <si>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</si>
  <si>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</si>
  <si>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</si>
  <si>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</si>
  <si>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</si>
  <si>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</si>
  <si>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</si>
  <si>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</si>
  <si>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</si>
  <si>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</si>
  <si>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</si>
  <si>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</si>
  <si>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</si>
  <si>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</si>
  <si>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</si>
  <si>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</si>
  <si>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</si>
  <si>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</si>
  <si>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</si>
  <si>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</si>
  <si>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</si>
  <si>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</si>
  <si>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</si>
  <si>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</si>
  <si>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</si>
  <si>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</si>
  <si>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</si>
  <si>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</si>
  <si>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</si>
  <si>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</si>
  <si>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</si>
  <si>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</si>
  <si>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</si>
  <si>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</si>
  <si>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</si>
  <si>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</si>
  <si>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</si>
  <si>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</si>
  <si>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</si>
  <si>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</si>
  <si>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</si>
  <si>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</si>
  <si>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</si>
  <si>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</si>
  <si>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</si>
  <si>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</si>
  <si>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</si>
  <si>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</si>
  <si>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</si>
  <si>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</si>
  <si>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</si>
  <si>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</si>
  <si>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</si>
  <si>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</si>
  <si>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</si>
  <si>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</si>
  <si>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</si>
  <si>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</si>
  <si>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</si>
  <si>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</si>
  <si>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</si>
  <si>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</si>
  <si>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</si>
  <si>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</si>
  <si>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</si>
  <si>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</si>
  <si>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</si>
  <si>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</si>
  <si>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</si>
  <si>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</si>
  <si>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</si>
  <si>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</si>
  <si>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</si>
  <si>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</si>
  <si>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</si>
  <si>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</si>
  <si>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</si>
  <si>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</si>
  <si>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</si>
  <si>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</si>
  <si>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</si>
  <si>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</si>
  <si>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</si>
  <si>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</si>
  <si>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</si>
  <si>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</si>
  <si>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</si>
  <si>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</si>
  <si>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</si>
  <si>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</si>
  <si>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</si>
  <si>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</si>
  <si>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</si>
  <si>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</si>
  <si>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</si>
  <si>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</si>
  <si>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</si>
  <si>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</si>
  <si>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</si>
  <si>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</si>
  <si>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</si>
  <si>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</si>
  <si>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</si>
  <si>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</si>
  <si>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</si>
  <si>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</si>
  <si>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</si>
  <si>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</si>
  <si>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</si>
  <si>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</si>
  <si>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</si>
  <si>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</si>
  <si>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</si>
  <si>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</si>
  <si>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</si>
  <si>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</si>
  <si>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</si>
  <si>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</si>
  <si>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</si>
  <si>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</si>
  <si>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</si>
  <si>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</si>
  <si>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</si>
  <si>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</si>
  <si>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</si>
  <si>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</si>
  <si>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</si>
  <si>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</si>
  <si>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</si>
  <si>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</si>
  <si>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</si>
  <si>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</si>
  <si>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</si>
  <si>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</si>
  <si>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</si>
  <si>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</si>
  <si>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</si>
  <si>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</si>
  <si>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</si>
  <si>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</si>
  <si>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</si>
  <si>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</si>
  <si>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</si>
  <si>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Revenue</t>
  </si>
  <si>
    <t>Days</t>
  </si>
  <si>
    <t>State</t>
  </si>
  <si>
    <t>Customer Rating</t>
  </si>
  <si>
    <t>Rating status</t>
  </si>
  <si>
    <t>Home Office</t>
  </si>
  <si>
    <t>Consumer</t>
  </si>
  <si>
    <t>Kerala</t>
  </si>
  <si>
    <t>Corporate</t>
  </si>
  <si>
    <t>Tamil Nadu</t>
  </si>
  <si>
    <t>Karnataka</t>
  </si>
  <si>
    <t>Maharashtra</t>
  </si>
  <si>
    <t>Telangana</t>
  </si>
  <si>
    <t>CUST0081</t>
  </si>
  <si>
    <t>Product Name</t>
  </si>
  <si>
    <t>Office Supplies</t>
  </si>
  <si>
    <t>Accessories</t>
  </si>
  <si>
    <t>Product 1</t>
  </si>
  <si>
    <t>Binders</t>
  </si>
  <si>
    <t>Product 2</t>
  </si>
  <si>
    <t>Furniture</t>
  </si>
  <si>
    <t>Chairs</t>
  </si>
  <si>
    <t>Product 3</t>
  </si>
  <si>
    <t>Technology</t>
  </si>
  <si>
    <t>Product 4</t>
  </si>
  <si>
    <t>Storage</t>
  </si>
  <si>
    <t>Product 5</t>
  </si>
  <si>
    <t>Product 6</t>
  </si>
  <si>
    <t>Product 7</t>
  </si>
  <si>
    <t>Phones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</si>
  <si>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</si>
  <si>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</si>
  <si>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</si>
  <si>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</si>
  <si>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</si>
  <si>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</si>
  <si>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</si>
  <si>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Tables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</si>
  <si>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</si>
  <si>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</si>
  <si>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</si>
  <si>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</si>
  <si>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</si>
  <si>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</si>
  <si>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</si>
  <si>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</si>
  <si>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</si>
  <si>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</si>
  <si>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</si>
  <si>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</si>
  <si>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</si>
  <si>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</si>
  <si>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</si>
  <si>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</si>
  <si>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</si>
  <si>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</si>
  <si>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</si>
  <si>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</si>
  <si>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</si>
  <si>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</si>
  <si>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</si>
  <si>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</si>
  <si>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</si>
  <si>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</si>
  <si>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</si>
  <si>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</si>
  <si>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</si>
  <si>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</si>
  <si>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</si>
  <si>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</si>
  <si>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</si>
  <si>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</si>
  <si>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</si>
  <si>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</si>
  <si>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</si>
  <si>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</si>
  <si>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</si>
  <si>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</si>
  <si>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</si>
  <si>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</si>
  <si>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</si>
  <si>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</si>
  <si>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</si>
  <si>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</si>
  <si>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</si>
  <si>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</si>
  <si>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</si>
  <si>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</si>
  <si>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</si>
  <si>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</si>
  <si>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</si>
  <si>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</si>
  <si>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</si>
  <si>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</si>
  <si>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</si>
  <si>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</si>
  <si>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</si>
  <si>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</si>
  <si>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</si>
  <si>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</si>
  <si>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</si>
  <si>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</si>
  <si>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</si>
  <si>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</si>
  <si>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</si>
  <si>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</si>
  <si>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</si>
  <si>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</si>
  <si>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</si>
  <si>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</si>
  <si>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</si>
  <si>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</si>
  <si>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</si>
  <si>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</si>
  <si>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</si>
  <si>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</si>
  <si>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</si>
  <si>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</si>
  <si>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</si>
  <si>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</si>
  <si>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</si>
  <si>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</si>
  <si>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</si>
  <si>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</si>
  <si>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Good</t>
  </si>
  <si>
    <t>Very Poor</t>
  </si>
  <si>
    <t>Excellent</t>
  </si>
  <si>
    <t>Average</t>
  </si>
  <si>
    <t>Poor</t>
  </si>
  <si>
    <t xml:space="preserve">Segement </t>
  </si>
  <si>
    <t xml:space="preserve"> Category</t>
  </si>
  <si>
    <t xml:space="preserve"> 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</si>
</sst>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yyyy/mm/dd;@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" xfId="0" applyBorder="1"/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2" xfId="0" applyFont="1" applyBorder="1"/>
    <xf numFmtId="0" fontId="2" fillId="0" borderId="2" xfId="0" applyFont="1" applyBorder="1" applyAlignment="1">
      <alignment horizontal="center" vertical="top"/>
    </xf>
    <xf numFmtId="0" fontId="1" fillId="0" borderId="8" xfId="0" applyFont="1" applyBorder="1"/>
    <xf numFmtId="0" fontId="2" fillId="0" borderId="8" xfId="0" applyFont="1" applyBorder="1" applyAlignment="1">
      <alignment horizontal="center" vertical="top"/>
    </xf>
  </cellXfs>
  <cellStyles count="1">
    <cellStyle name="Normal" xfId="0" builtinId="0"/>
  </cellStyles>
  <dxfs count="28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65" formatCode="yyyy/mm/dd;@"/>
    </dxf>
    <dxf>
      <numFmt numFmtId="19" formatCode="dd/mm/yyyy"/>
    </dxf>
    <dxf>
      <numFmt numFmtId="164" formatCode="&quot;₹&quot;\ #,##0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E8AF466-A0FF-4138-827D-CB55A356D3CB}" autoFormatId="16" applyNumberFormats="0" applyBorderFormats="0" applyFontFormats="0" applyPatternFormats="0" applyAlignmentFormats="0" applyWidthHeightFormats="0">
  <queryTableRefresh nextId="38" unboundColumnsRight="1">
    <queryTableFields count="13">
      <queryTableField id="3" name="Order ID" tableColumnId="3"/>
      <queryTableField id="6" name="Customer ID" tableColumnId="6"/>
      <queryTableField id="7" name="Product ID" tableColumnId="7"/>
      <queryTableField id="8" name="final sales" tableColumnId="8"/>
      <queryTableField id="10" name="Quantity" tableColumnId="10"/>
      <queryTableField id="11" name="Discount" tableColumnId="11"/>
      <queryTableField id="1" name="Ship Mode" tableColumnId="1"/>
      <queryTableField id="18" name="Proper -Returned" tableColumnId="18"/>
      <queryTableField id="19" name="Proper - Sales Channel" tableColumnId="19"/>
      <queryTableField id="20" name="Proper-Ship mode" tableColumnId="20"/>
      <queryTableField id="23" name="Proper Order Date" tableColumnId="23"/>
      <queryTableField id="24" name="Proper ship date" tableColumnId="24"/>
      <queryTableField id="36" dataBound="0" tableColumnId="27"/>
    </queryTableFields>
    <queryTableDeletedFields count="13">
      <deletedField name="Order Date"/>
      <deletedField name="Ship Date"/>
      <deletedField name="Order Date formatted"/>
      <deletedField name="Ship date formatted"/>
      <deletedField name="Table1 (2).Product ID"/>
      <deletedField name="Table1 (2).median products"/>
      <deletedField name="Sales"/>
      <deletedField name="Sales Channel"/>
      <deletedField name="Returned"/>
      <deletedField name="Left -Order ID"/>
      <deletedField name="Right - Oreder ID"/>
      <deletedField name="Mid-Order ID"/>
      <deletedField name="Concadenate - Order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7FFC1-A018-4D7F-9A28-D7386E7CBDEB}" name="Table1_1" displayName="Table1_1" ref="A1:M2001" tableType="queryTable" totalsRowShown="0">
  <autoFilter ref="A1:M2001" xr:uid="{22E7FFC1-A018-4D7F-9A28-D7386E7CBDEB}"/>
  <sortState xmlns:xlrd2="http://schemas.microsoft.com/office/spreadsheetml/2017/richdata2" ref="A2:L2001">
    <sortCondition ref="A1:A2001"/>
  </sortState>
  <tableColumns count="13">
    <tableColumn id="3" xr3:uid="{A65B5CDE-C0E2-4028-A22D-2CF9D3963250}" uniqueName="3" name="Order ID" queryTableFieldId="3" dataDxfId="19"/>
    <tableColumn id="6" xr3:uid="{76098D79-E9BB-4260-B6D9-5C24ACC254DD}" uniqueName="6" name="Customer ID" queryTableFieldId="6" dataDxfId="18"/>
    <tableColumn id="7" xr3:uid="{10383346-7245-416C-AFEA-5A6DB09D427C}" uniqueName="7" name="Product ID" queryTableFieldId="7" dataDxfId="17"/>
    <tableColumn id="8" xr3:uid="{FAC0F136-0C6D-488C-840D-AE06D4053E9E}" uniqueName="8" name="Sales" queryTableFieldId="8" dataDxfId="16"/>
    <tableColumn id="10" xr3:uid="{81C312D4-790D-4C92-8948-B75A0DEE5453}" uniqueName="10" name="Quantity" queryTableFieldId="10"/>
    <tableColumn id="11" xr3:uid="{D61B05DE-9FEF-4F6A-BD65-DB4B0926F186}" uniqueName="11" name="Discount" queryTableFieldId="11"/>
    <tableColumn id="1" xr3:uid="{38C03150-69AB-4FC8-8075-C16384ACEB7E}" uniqueName="1" name="Ship Mode" queryTableFieldId="1" dataDxfId="15"/>
    <tableColumn id="18" xr3:uid="{F1409FBC-3D91-45EC-B3B4-28A80B63311A}" uniqueName="18" name="Returned" queryTableFieldId="18" dataDxfId="14"/>
    <tableColumn id="19" xr3:uid="{2C49170A-8D6F-4B2B-A394-F9FFFFC21EAC}" uniqueName="19" name="Sales Channel" queryTableFieldId="19" dataDxfId="13"/>
    <tableColumn id="20" xr3:uid="{756CAE40-77DD-49AA-9D54-78CE54EE544D}" uniqueName="20" name="Revenue" queryTableFieldId="20" dataDxfId="12"/>
    <tableColumn id="23" xr3:uid="{3A545EF6-CDAC-469A-A132-EBB8A9B5B966}" uniqueName="23" name="Order Date" queryTableFieldId="23" dataDxfId="11"/>
    <tableColumn id="24" xr3:uid="{CB47E633-76F1-422E-9220-490A2CF2DBFA}" uniqueName="24" name="Ship Date" queryTableFieldId="24" dataDxfId="10"/>
    <tableColumn id="27" xr3:uid="{2602275F-8DB2-45ED-A8DB-8D5B629652FE}" uniqueName="27" name="Days" queryTableFieldId="36" dataDxfId="9">
      <calculatedColumnFormula>DATEDIF(Table1_1[[#This Row],[Order Date]],Table1_1[[#This Row],[Ship Date]],"D")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817738-729F-4C48-A197-D6E87D4DB1B2}" name="Table5" displayName="Table5" ref="A1:E301" totalsRowShown="0" headerRowDxfId="8" headerRowBorderDxfId="7" tableBorderDxfId="6" totalsRowBorderDxfId="5">
  <autoFilter ref="A1:E301" xr:uid="{61817738-729F-4C48-A197-D6E87D4DB1B2}"/>
  <tableColumns count="5">
    <tableColumn id="1" xr3:uid="{6CA60E52-4F57-40CC-B346-56D0E8C4439B}" name="Customer ID" dataDxfId="4"/>
    <tableColumn id="2" xr3:uid="{630593D1-7AA1-4EF1-B948-FD42F3AD1F09}" name="Segement " dataDxfId="3"/>
    <tableColumn id="3" xr3:uid="{B8696E60-DCD6-4BAF-A498-1783BEAA2FF6}" name="State" dataDxfId="2"/>
    <tableColumn id="4" xr3:uid="{08C369E1-A938-4550-93EA-7BC9B9A01EDC}" name="Customer Rating" dataDxfId="1"/>
    <tableColumn id="5" xr3:uid="{560A8104-47F3-4B76-A5BB-A7AD9123A2B8}" name="Rating status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6D4799-6179-4929-86CB-5823AFC94228}" name="Table6" displayName="Table6" ref="A1:D101" totalsRowShown="0" headerRowDxfId="27" headerRowBorderDxfId="26" tableBorderDxfId="25" totalsRowBorderDxfId="24">
  <autoFilter ref="A1:D101" xr:uid="{916D4799-6179-4929-86CB-5823AFC94228}"/>
  <tableColumns count="4">
    <tableColumn id="1" xr3:uid="{96D51D50-86C8-44EB-9B5C-55CA54CE0943}" name="Product ID" dataDxfId="23"/>
    <tableColumn id="2" xr3:uid="{C95C8838-F7B0-4201-A35F-8771EBEFB2B1}" name=" Category" dataDxfId="22"/>
    <tableColumn id="3" xr3:uid="{BF3E0834-D2C2-4BA8-AF2C-0409E8A17D70}" name=" Sub-Category" dataDxfId="21"/>
    <tableColumn id="4" xr3:uid="{20E72A02-AD16-488A-9EDB-9C09F7C27F6F}" name="Product Name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FED4-7DF2-40BD-A62A-3C9DB92E2360}">
  <dimension ref="A1:M2001"/>
  <sheetViews>
    <sheetView tabSelected="1" workbookViewId="0">
      <selection activeCell="J11" sqref="J11"/>
    </sheetView>
  </sheetViews>
  <sheetFormatPr defaultRowHeight="14.5" x14ac:dyDescent="0.35"/>
  <cols>
    <col min="1" max="1" width="10.26953125" bestFit="1" customWidth="1"/>
    <col min="2" max="2" width="13.54296875" bestFit="1" customWidth="1"/>
    <col min="3" max="3" width="12" bestFit="1" customWidth="1"/>
    <col min="4" max="4" width="11.26953125" style="2" bestFit="1" customWidth="1"/>
    <col min="5" max="6" width="10.453125" bestFit="1" customWidth="1"/>
    <col min="7" max="7" width="13.08984375" customWidth="1"/>
    <col min="8" max="8" width="17.81640625" bestFit="1" customWidth="1"/>
    <col min="9" max="9" width="22" bestFit="1" customWidth="1"/>
    <col min="10" max="10" width="18.36328125" style="2" bestFit="1" customWidth="1"/>
    <col min="11" max="11" width="18.7265625" style="1" bestFit="1" customWidth="1"/>
    <col min="12" max="12" width="17.08984375" style="11" bestFit="1" customWidth="1"/>
    <col min="13" max="13" width="17.1796875" bestFit="1" customWidth="1"/>
  </cols>
  <sheetData>
    <row r="1" spans="1:13" x14ac:dyDescent="0.35">
      <c r="A1" t="s">
        <v>0</v>
      </c>
      <c r="B1" t="s">
        <v>3</v>
      </c>
      <c r="C1" t="s">
        <v>4</v>
      </c>
      <c r="D1" s="2" t="s">
        <v>5</v>
      </c>
      <c r="E1" t="s">
        <v>6</v>
      </c>
      <c r="F1" t="s">
        <v>7</v>
      </c>
      <c r="G1" t="s">
        <v>8</v>
      </c>
      <c r="H1" t="s">
        <v>10</v>
      </c>
      <c r="I1" t="s">
        <v>9</v>
      </c>
      <c r="J1" s="2" t="s">
        <v>2418</v>
      </c>
      <c r="K1" s="1" t="s">
        <v>1</v>
      </c>
      <c r="L1" s="11" t="s">
        <v>2</v>
      </c>
      <c r="M1" t="s">
        <v>2419</v>
      </c>
    </row>
    <row r="2" spans="1:13" x14ac:dyDescent="0.35">
      <c r="A2" t="s">
        <v>11</v>
      </c>
      <c r="B2" t="s">
        <v>12</v>
      </c>
      <c r="C2" t="s">
        <v>13</v>
      </c>
      <c r="D2" s="2">
        <v>4075.4</v>
      </c>
      <c r="E2">
        <v>6</v>
      </c>
      <c r="F2">
        <v>0.2</v>
      </c>
      <c r="G2" t="s">
        <v>14</v>
      </c>
      <c r="H2" t="s">
        <v>15</v>
      </c>
      <c r="I2" t="s">
        <v>16</v>
      </c>
      <c r="J2" s="2">
        <f>Table1_1[[#This Row],[Sales]]-Table1_1[[#This Row],[Sales]]*Table1_1[[#This Row],[Discount]]</f>
        <v>3260.32</v>
      </c>
      <c r="K2" s="1">
        <v>44952</v>
      </c>
      <c r="L2" s="11">
        <v>44955</v>
      </c>
      <c r="M2">
        <f>DATEDIF(Table1_1[[#This Row],[Order Date]],Table1_1[[#This Row],[Ship Date]],"D")</f>
        <v>3</v>
      </c>
    </row>
    <row r="3" spans="1:13" x14ac:dyDescent="0.35">
      <c r="A3" t="s">
        <v>24</v>
      </c>
      <c r="B3" t="s">
        <v>25</v>
      </c>
      <c r="C3" t="s">
        <v>26</v>
      </c>
      <c r="D3" s="2">
        <v>4035.22</v>
      </c>
      <c r="E3">
        <v>5</v>
      </c>
      <c r="F3">
        <v>0</v>
      </c>
      <c r="G3" t="s">
        <v>14</v>
      </c>
      <c r="H3" t="s">
        <v>21</v>
      </c>
      <c r="I3" t="s">
        <v>16</v>
      </c>
      <c r="J3" s="2">
        <f>Table1_1[[#This Row],[Sales]]-Table1_1[[#This Row],[Sales]]*Table1_1[[#This Row],[Discount]]</f>
        <v>4035.22</v>
      </c>
      <c r="K3" s="1">
        <v>45224</v>
      </c>
      <c r="L3" s="11">
        <v>45228</v>
      </c>
      <c r="M3">
        <f>DATEDIF(Table1_1[[#This Row],[Order Date]],Table1_1[[#This Row],[Ship Date]],"D")</f>
        <v>4</v>
      </c>
    </row>
    <row r="4" spans="1:13" x14ac:dyDescent="0.35">
      <c r="A4" t="s">
        <v>29</v>
      </c>
      <c r="B4" t="s">
        <v>30</v>
      </c>
      <c r="C4" t="s">
        <v>31</v>
      </c>
      <c r="D4" s="2">
        <v>1676.01</v>
      </c>
      <c r="E4">
        <v>10</v>
      </c>
      <c r="F4">
        <v>0.1</v>
      </c>
      <c r="G4" t="s">
        <v>14</v>
      </c>
      <c r="H4" t="s">
        <v>15</v>
      </c>
      <c r="I4" t="s">
        <v>16</v>
      </c>
      <c r="J4" s="2">
        <f>Table1_1[[#This Row],[Sales]]-Table1_1[[#This Row],[Sales]]*Table1_1[[#This Row],[Discount]]</f>
        <v>1508.4090000000001</v>
      </c>
      <c r="K4" s="1">
        <v>45621</v>
      </c>
      <c r="L4" s="11">
        <v>45626</v>
      </c>
      <c r="M4">
        <f>DATEDIF(Table1_1[[#This Row],[Order Date]],Table1_1[[#This Row],[Ship Date]],"D")</f>
        <v>5</v>
      </c>
    </row>
    <row r="5" spans="1:13" x14ac:dyDescent="0.35">
      <c r="A5" t="s">
        <v>32</v>
      </c>
      <c r="B5" t="s">
        <v>33</v>
      </c>
      <c r="C5" t="s">
        <v>34</v>
      </c>
      <c r="D5" s="2">
        <v>4538.3999999999996</v>
      </c>
      <c r="E5">
        <v>3</v>
      </c>
      <c r="F5">
        <v>0.3</v>
      </c>
      <c r="G5" t="s">
        <v>14</v>
      </c>
      <c r="H5" t="s">
        <v>15</v>
      </c>
      <c r="I5" t="s">
        <v>20</v>
      </c>
      <c r="J5" s="2">
        <f>Table1_1[[#This Row],[Sales]]-Table1_1[[#This Row],[Sales]]*Table1_1[[#This Row],[Discount]]</f>
        <v>3176.88</v>
      </c>
      <c r="K5" s="1">
        <v>45627</v>
      </c>
      <c r="L5" s="11">
        <v>45630</v>
      </c>
      <c r="M5">
        <f>DATEDIF(Table1_1[[#This Row],[Order Date]],Table1_1[[#This Row],[Ship Date]],"D")</f>
        <v>3</v>
      </c>
    </row>
    <row r="6" spans="1:13" x14ac:dyDescent="0.35">
      <c r="A6" t="s">
        <v>40</v>
      </c>
      <c r="B6" t="s">
        <v>41</v>
      </c>
      <c r="C6" t="s">
        <v>42</v>
      </c>
      <c r="D6" s="2">
        <v>783.4</v>
      </c>
      <c r="E6">
        <v>7</v>
      </c>
      <c r="F6">
        <v>0.1</v>
      </c>
      <c r="G6" t="s">
        <v>19</v>
      </c>
      <c r="H6" t="s">
        <v>21</v>
      </c>
      <c r="I6" t="s">
        <v>43</v>
      </c>
      <c r="J6" s="2">
        <f>Table1_1[[#This Row],[Sales]]-Table1_1[[#This Row],[Sales]]*Table1_1[[#This Row],[Discount]]</f>
        <v>705.06</v>
      </c>
      <c r="K6" s="1">
        <v>45246</v>
      </c>
      <c r="L6" s="11">
        <v>45248</v>
      </c>
      <c r="M6">
        <f>DATEDIF(Table1_1[[#This Row],[Order Date]],Table1_1[[#This Row],[Ship Date]],"D")</f>
        <v>2</v>
      </c>
    </row>
    <row r="7" spans="1:13" x14ac:dyDescent="0.35">
      <c r="A7" t="s">
        <v>44</v>
      </c>
      <c r="B7" t="s">
        <v>45</v>
      </c>
      <c r="C7" t="s">
        <v>46</v>
      </c>
      <c r="D7" s="2">
        <v>1026.47</v>
      </c>
      <c r="E7">
        <v>9</v>
      </c>
      <c r="F7">
        <v>0.1</v>
      </c>
      <c r="G7" t="s">
        <v>39</v>
      </c>
      <c r="H7" t="s">
        <v>21</v>
      </c>
      <c r="I7" t="s">
        <v>43</v>
      </c>
      <c r="J7" s="2">
        <f>Table1_1[[#This Row],[Sales]]-Table1_1[[#This Row],[Sales]]*Table1_1[[#This Row],[Discount]]</f>
        <v>923.82299999999998</v>
      </c>
      <c r="K7" s="1">
        <v>45621</v>
      </c>
      <c r="L7" s="11">
        <v>45626</v>
      </c>
      <c r="M7">
        <f>DATEDIF(Table1_1[[#This Row],[Order Date]],Table1_1[[#This Row],[Ship Date]],"D")</f>
        <v>5</v>
      </c>
    </row>
    <row r="8" spans="1:13" x14ac:dyDescent="0.35">
      <c r="A8" t="s">
        <v>55</v>
      </c>
      <c r="B8" t="s">
        <v>56</v>
      </c>
      <c r="C8" t="s">
        <v>57</v>
      </c>
      <c r="D8" s="2">
        <v>352.44</v>
      </c>
      <c r="E8">
        <v>2</v>
      </c>
      <c r="F8">
        <v>0</v>
      </c>
      <c r="G8" t="s">
        <v>19</v>
      </c>
      <c r="H8" t="s">
        <v>15</v>
      </c>
      <c r="I8" t="s">
        <v>43</v>
      </c>
      <c r="J8" s="2">
        <f>Table1_1[[#This Row],[Sales]]-Table1_1[[#This Row],[Sales]]*Table1_1[[#This Row],[Discount]]</f>
        <v>352.44</v>
      </c>
      <c r="K8" s="1">
        <v>45664</v>
      </c>
      <c r="L8" s="11">
        <v>45667</v>
      </c>
      <c r="M8">
        <f>DATEDIF(Table1_1[[#This Row],[Order Date]],Table1_1[[#This Row],[Ship Date]],"D")</f>
        <v>3</v>
      </c>
    </row>
    <row r="9" spans="1:13" x14ac:dyDescent="0.35">
      <c r="A9" t="s">
        <v>58</v>
      </c>
      <c r="B9" t="s">
        <v>59</v>
      </c>
      <c r="C9" t="s">
        <v>60</v>
      </c>
      <c r="D9" s="2">
        <v>2063.7199999999998</v>
      </c>
      <c r="E9">
        <v>3</v>
      </c>
      <c r="F9">
        <v>0.3</v>
      </c>
      <c r="G9" t="s">
        <v>19</v>
      </c>
      <c r="H9" t="s">
        <v>21</v>
      </c>
      <c r="I9" t="s">
        <v>43</v>
      </c>
      <c r="J9" s="2">
        <f>Table1_1[[#This Row],[Sales]]-Table1_1[[#This Row],[Sales]]*Table1_1[[#This Row],[Discount]]</f>
        <v>1444.6039999999998</v>
      </c>
      <c r="K9" s="1">
        <v>45555</v>
      </c>
      <c r="L9" s="11">
        <v>45556</v>
      </c>
      <c r="M9">
        <f>DATEDIF(Table1_1[[#This Row],[Order Date]],Table1_1[[#This Row],[Ship Date]],"D")</f>
        <v>1</v>
      </c>
    </row>
    <row r="10" spans="1:13" x14ac:dyDescent="0.35">
      <c r="A10" t="s">
        <v>61</v>
      </c>
      <c r="B10" t="s">
        <v>54</v>
      </c>
      <c r="C10" t="s">
        <v>62</v>
      </c>
      <c r="D10" s="2">
        <v>3637.24</v>
      </c>
      <c r="E10">
        <v>5</v>
      </c>
      <c r="F10">
        <v>0.2</v>
      </c>
      <c r="G10" t="s">
        <v>39</v>
      </c>
      <c r="H10" t="s">
        <v>21</v>
      </c>
      <c r="I10" t="s">
        <v>43</v>
      </c>
      <c r="J10" s="2">
        <f>Table1_1[[#This Row],[Sales]]-Table1_1[[#This Row],[Sales]]*Table1_1[[#This Row],[Discount]]</f>
        <v>2909.7919999999999</v>
      </c>
      <c r="K10" s="1">
        <v>45140</v>
      </c>
      <c r="L10" s="11">
        <v>45147</v>
      </c>
      <c r="M10">
        <f>DATEDIF(Table1_1[[#This Row],[Order Date]],Table1_1[[#This Row],[Ship Date]],"D")</f>
        <v>7</v>
      </c>
    </row>
    <row r="11" spans="1:13" x14ac:dyDescent="0.35">
      <c r="A11" t="s">
        <v>63</v>
      </c>
      <c r="B11" t="s">
        <v>64</v>
      </c>
      <c r="C11" t="s">
        <v>65</v>
      </c>
      <c r="D11" s="2">
        <v>569</v>
      </c>
      <c r="E11">
        <v>8</v>
      </c>
      <c r="F11">
        <v>0.1</v>
      </c>
      <c r="G11" t="s">
        <v>19</v>
      </c>
      <c r="H11" t="s">
        <v>21</v>
      </c>
      <c r="I11" t="s">
        <v>20</v>
      </c>
      <c r="J11" s="2">
        <f>Table1_1[[#This Row],[Sales]]-Table1_1[[#This Row],[Sales]]*Table1_1[[#This Row],[Discount]]</f>
        <v>512.1</v>
      </c>
      <c r="K11" s="1">
        <v>45123</v>
      </c>
      <c r="L11" s="11">
        <v>45124</v>
      </c>
      <c r="M11">
        <f>DATEDIF(Table1_1[[#This Row],[Order Date]],Table1_1[[#This Row],[Ship Date]],"D")</f>
        <v>1</v>
      </c>
    </row>
    <row r="12" spans="1:13" x14ac:dyDescent="0.35">
      <c r="A12" t="s">
        <v>66</v>
      </c>
      <c r="B12" t="s">
        <v>67</v>
      </c>
      <c r="C12" t="s">
        <v>68</v>
      </c>
      <c r="D12" s="2">
        <v>4248.01</v>
      </c>
      <c r="E12">
        <v>4</v>
      </c>
      <c r="F12">
        <v>0.3</v>
      </c>
      <c r="G12" t="s">
        <v>14</v>
      </c>
      <c r="H12" t="s">
        <v>21</v>
      </c>
      <c r="I12" t="s">
        <v>16</v>
      </c>
      <c r="J12" s="2">
        <f>Table1_1[[#This Row],[Sales]]-Table1_1[[#This Row],[Sales]]*Table1_1[[#This Row],[Discount]]</f>
        <v>2973.607</v>
      </c>
      <c r="K12" s="1">
        <v>44937</v>
      </c>
      <c r="L12" s="11">
        <v>44942</v>
      </c>
      <c r="M12">
        <f>DATEDIF(Table1_1[[#This Row],[Order Date]],Table1_1[[#This Row],[Ship Date]],"D")</f>
        <v>5</v>
      </c>
    </row>
    <row r="13" spans="1:13" x14ac:dyDescent="0.35">
      <c r="A13" t="s">
        <v>71</v>
      </c>
      <c r="B13" t="s">
        <v>72</v>
      </c>
      <c r="C13" t="s">
        <v>73</v>
      </c>
      <c r="D13" s="2">
        <v>1533.33</v>
      </c>
      <c r="E13">
        <v>1</v>
      </c>
      <c r="F13">
        <v>0.1</v>
      </c>
      <c r="G13" t="s">
        <v>14</v>
      </c>
      <c r="H13" t="s">
        <v>21</v>
      </c>
      <c r="I13" t="s">
        <v>43</v>
      </c>
      <c r="J13" s="2">
        <f>Table1_1[[#This Row],[Sales]]-Table1_1[[#This Row],[Sales]]*Table1_1[[#This Row],[Discount]]</f>
        <v>1379.9969999999998</v>
      </c>
      <c r="K13" s="1">
        <v>45377</v>
      </c>
      <c r="L13" s="11">
        <v>45381</v>
      </c>
      <c r="M13">
        <f>DATEDIF(Table1_1[[#This Row],[Order Date]],Table1_1[[#This Row],[Ship Date]],"D")</f>
        <v>4</v>
      </c>
    </row>
    <row r="14" spans="1:13" x14ac:dyDescent="0.35">
      <c r="A14" t="s">
        <v>75</v>
      </c>
      <c r="B14" t="s">
        <v>76</v>
      </c>
      <c r="C14" t="s">
        <v>77</v>
      </c>
      <c r="D14" s="2">
        <v>1616.14</v>
      </c>
      <c r="E14">
        <v>5</v>
      </c>
      <c r="F14">
        <v>0.1</v>
      </c>
      <c r="G14" t="s">
        <v>19</v>
      </c>
      <c r="H14" t="s">
        <v>15</v>
      </c>
      <c r="I14" t="s">
        <v>43</v>
      </c>
      <c r="J14" s="2">
        <f>Table1_1[[#This Row],[Sales]]-Table1_1[[#This Row],[Sales]]*Table1_1[[#This Row],[Discount]]</f>
        <v>1454.5260000000001</v>
      </c>
      <c r="K14" s="1">
        <v>45722</v>
      </c>
      <c r="L14" s="11">
        <v>45728</v>
      </c>
      <c r="M14">
        <f>DATEDIF(Table1_1[[#This Row],[Order Date]],Table1_1[[#This Row],[Ship Date]],"D")</f>
        <v>6</v>
      </c>
    </row>
    <row r="15" spans="1:13" x14ac:dyDescent="0.35">
      <c r="A15" t="s">
        <v>80</v>
      </c>
      <c r="B15" t="s">
        <v>81</v>
      </c>
      <c r="C15" t="s">
        <v>82</v>
      </c>
      <c r="D15" s="2">
        <v>2864.8</v>
      </c>
      <c r="E15">
        <v>3</v>
      </c>
      <c r="F15">
        <v>0.3</v>
      </c>
      <c r="G15" t="s">
        <v>14</v>
      </c>
      <c r="H15" t="s">
        <v>15</v>
      </c>
      <c r="I15" t="s">
        <v>20</v>
      </c>
      <c r="J15" s="2">
        <f>Table1_1[[#This Row],[Sales]]-Table1_1[[#This Row],[Sales]]*Table1_1[[#This Row],[Discount]]</f>
        <v>2005.3600000000001</v>
      </c>
      <c r="K15" s="1">
        <v>45349</v>
      </c>
      <c r="L15" s="11">
        <v>45351</v>
      </c>
      <c r="M15">
        <f>DATEDIF(Table1_1[[#This Row],[Order Date]],Table1_1[[#This Row],[Ship Date]],"D")</f>
        <v>2</v>
      </c>
    </row>
    <row r="16" spans="1:13" x14ac:dyDescent="0.35">
      <c r="A16" t="s">
        <v>87</v>
      </c>
      <c r="B16" t="s">
        <v>88</v>
      </c>
      <c r="C16" t="s">
        <v>89</v>
      </c>
      <c r="D16" s="2">
        <v>3781.42</v>
      </c>
      <c r="E16">
        <v>10</v>
      </c>
      <c r="F16">
        <v>0.1</v>
      </c>
      <c r="G16" t="s">
        <v>19</v>
      </c>
      <c r="H16" t="s">
        <v>21</v>
      </c>
      <c r="I16" t="s">
        <v>20</v>
      </c>
      <c r="J16" s="2">
        <f>Table1_1[[#This Row],[Sales]]-Table1_1[[#This Row],[Sales]]*Table1_1[[#This Row],[Discount]]</f>
        <v>3403.2780000000002</v>
      </c>
      <c r="K16" s="1">
        <v>45417</v>
      </c>
      <c r="L16" s="11">
        <v>45420</v>
      </c>
      <c r="M16">
        <f>DATEDIF(Table1_1[[#This Row],[Order Date]],Table1_1[[#This Row],[Ship Date]],"D")</f>
        <v>3</v>
      </c>
    </row>
    <row r="17" spans="1:13" x14ac:dyDescent="0.35">
      <c r="A17" t="s">
        <v>90</v>
      </c>
      <c r="B17" t="s">
        <v>88</v>
      </c>
      <c r="C17" t="s">
        <v>91</v>
      </c>
      <c r="D17" s="2">
        <v>827.29</v>
      </c>
      <c r="E17">
        <v>6</v>
      </c>
      <c r="F17">
        <v>0.2</v>
      </c>
      <c r="G17" t="s">
        <v>19</v>
      </c>
      <c r="H17" t="s">
        <v>21</v>
      </c>
      <c r="I17" t="s">
        <v>16</v>
      </c>
      <c r="J17" s="2">
        <f>Table1_1[[#This Row],[Sales]]-Table1_1[[#This Row],[Sales]]*Table1_1[[#This Row],[Discount]]</f>
        <v>661.83199999999999</v>
      </c>
      <c r="K17" s="1">
        <v>45184</v>
      </c>
      <c r="L17" s="11">
        <v>45190</v>
      </c>
      <c r="M17">
        <f>DATEDIF(Table1_1[[#This Row],[Order Date]],Table1_1[[#This Row],[Ship Date]],"D")</f>
        <v>6</v>
      </c>
    </row>
    <row r="18" spans="1:13" x14ac:dyDescent="0.35">
      <c r="A18" t="s">
        <v>92</v>
      </c>
      <c r="B18" t="s">
        <v>93</v>
      </c>
      <c r="C18" t="s">
        <v>94</v>
      </c>
      <c r="D18" s="2">
        <v>4479.95</v>
      </c>
      <c r="E18">
        <v>10</v>
      </c>
      <c r="F18">
        <v>0</v>
      </c>
      <c r="G18" t="s">
        <v>19</v>
      </c>
      <c r="H18" t="s">
        <v>21</v>
      </c>
      <c r="I18" t="s">
        <v>20</v>
      </c>
      <c r="J18" s="2">
        <f>Table1_1[[#This Row],[Sales]]-Table1_1[[#This Row],[Sales]]*Table1_1[[#This Row],[Discount]]</f>
        <v>4479.95</v>
      </c>
      <c r="K18" s="1">
        <v>45204</v>
      </c>
      <c r="L18" s="11">
        <v>45205</v>
      </c>
      <c r="M18">
        <f>DATEDIF(Table1_1[[#This Row],[Order Date]],Table1_1[[#This Row],[Ship Date]],"D")</f>
        <v>1</v>
      </c>
    </row>
    <row r="19" spans="1:13" x14ac:dyDescent="0.35">
      <c r="A19" t="s">
        <v>97</v>
      </c>
      <c r="B19" t="s">
        <v>98</v>
      </c>
      <c r="C19" t="s">
        <v>99</v>
      </c>
      <c r="D19" s="2">
        <v>542.95000000000005</v>
      </c>
      <c r="E19">
        <v>3</v>
      </c>
      <c r="F19">
        <v>0.1</v>
      </c>
      <c r="G19" t="s">
        <v>14</v>
      </c>
      <c r="H19" t="s">
        <v>21</v>
      </c>
      <c r="I19" t="s">
        <v>16</v>
      </c>
      <c r="J19" s="2">
        <f>Table1_1[[#This Row],[Sales]]-Table1_1[[#This Row],[Sales]]*Table1_1[[#This Row],[Discount]]</f>
        <v>488.65500000000003</v>
      </c>
      <c r="K19" s="1">
        <v>45762</v>
      </c>
      <c r="L19" s="11">
        <v>45767</v>
      </c>
      <c r="M19">
        <f>DATEDIF(Table1_1[[#This Row],[Order Date]],Table1_1[[#This Row],[Ship Date]],"D")</f>
        <v>5</v>
      </c>
    </row>
    <row r="20" spans="1:13" x14ac:dyDescent="0.35">
      <c r="A20" t="s">
        <v>100</v>
      </c>
      <c r="B20" t="s">
        <v>101</v>
      </c>
      <c r="C20" t="s">
        <v>102</v>
      </c>
      <c r="D20" s="2">
        <v>2608.16</v>
      </c>
      <c r="E20">
        <v>2</v>
      </c>
      <c r="F20">
        <v>0.1</v>
      </c>
      <c r="G20" t="s">
        <v>19</v>
      </c>
      <c r="H20" t="s">
        <v>15</v>
      </c>
      <c r="I20" t="s">
        <v>16</v>
      </c>
      <c r="J20" s="2">
        <f>Table1_1[[#This Row],[Sales]]-Table1_1[[#This Row],[Sales]]*Table1_1[[#This Row],[Discount]]</f>
        <v>2347.3440000000001</v>
      </c>
      <c r="K20" s="1">
        <v>45039</v>
      </c>
      <c r="L20" s="11">
        <v>45046</v>
      </c>
      <c r="M20">
        <f>DATEDIF(Table1_1[[#This Row],[Order Date]],Table1_1[[#This Row],[Ship Date]],"D")</f>
        <v>7</v>
      </c>
    </row>
    <row r="21" spans="1:13" x14ac:dyDescent="0.35">
      <c r="A21" t="s">
        <v>83</v>
      </c>
      <c r="B21" t="s">
        <v>84</v>
      </c>
      <c r="C21" t="s">
        <v>82</v>
      </c>
      <c r="D21" s="2">
        <v>3397.24</v>
      </c>
      <c r="E21">
        <v>4</v>
      </c>
      <c r="F21">
        <v>0.2</v>
      </c>
      <c r="G21" t="s">
        <v>19</v>
      </c>
      <c r="H21" t="s">
        <v>21</v>
      </c>
      <c r="I21" t="s">
        <v>20</v>
      </c>
      <c r="J21" s="2">
        <f>Table1_1[[#This Row],[Sales]]-Table1_1[[#This Row],[Sales]]*Table1_1[[#This Row],[Discount]]</f>
        <v>2717.7919999999999</v>
      </c>
      <c r="K21" s="1">
        <v>45105</v>
      </c>
      <c r="L21" s="11">
        <v>45107</v>
      </c>
      <c r="M21">
        <f>DATEDIF(Table1_1[[#This Row],[Order Date]],Table1_1[[#This Row],[Ship Date]],"D")</f>
        <v>2</v>
      </c>
    </row>
    <row r="22" spans="1:13" x14ac:dyDescent="0.35">
      <c r="A22" t="s">
        <v>103</v>
      </c>
      <c r="B22" t="s">
        <v>104</v>
      </c>
      <c r="C22" t="s">
        <v>105</v>
      </c>
      <c r="D22" s="2">
        <v>4938.78</v>
      </c>
      <c r="E22">
        <v>8</v>
      </c>
      <c r="F22">
        <v>0</v>
      </c>
      <c r="G22" t="s">
        <v>39</v>
      </c>
      <c r="H22" t="s">
        <v>21</v>
      </c>
      <c r="I22" t="s">
        <v>16</v>
      </c>
      <c r="J22" s="2">
        <f>Table1_1[[#This Row],[Sales]]-Table1_1[[#This Row],[Sales]]*Table1_1[[#This Row],[Discount]]</f>
        <v>4938.78</v>
      </c>
      <c r="K22" s="1">
        <v>45740</v>
      </c>
      <c r="L22" s="11">
        <v>45742</v>
      </c>
      <c r="M22">
        <f>DATEDIF(Table1_1[[#This Row],[Order Date]],Table1_1[[#This Row],[Ship Date]],"D")</f>
        <v>2</v>
      </c>
    </row>
    <row r="23" spans="1:13" x14ac:dyDescent="0.35">
      <c r="A23" t="s">
        <v>106</v>
      </c>
      <c r="B23" t="s">
        <v>107</v>
      </c>
      <c r="C23" t="s">
        <v>108</v>
      </c>
      <c r="D23" s="2">
        <v>213.58</v>
      </c>
      <c r="E23">
        <v>2</v>
      </c>
      <c r="F23">
        <v>0</v>
      </c>
      <c r="G23" t="s">
        <v>14</v>
      </c>
      <c r="H23" t="s">
        <v>15</v>
      </c>
      <c r="I23" t="s">
        <v>43</v>
      </c>
      <c r="J23" s="2">
        <f>Table1_1[[#This Row],[Sales]]-Table1_1[[#This Row],[Sales]]*Table1_1[[#This Row],[Discount]]</f>
        <v>213.58</v>
      </c>
      <c r="K23" s="1">
        <v>45456</v>
      </c>
      <c r="L23" s="11">
        <v>45460</v>
      </c>
      <c r="M23">
        <f>DATEDIF(Table1_1[[#This Row],[Order Date]],Table1_1[[#This Row],[Ship Date]],"D")</f>
        <v>4</v>
      </c>
    </row>
    <row r="24" spans="1:13" x14ac:dyDescent="0.35">
      <c r="A24" t="s">
        <v>111</v>
      </c>
      <c r="B24" t="s">
        <v>112</v>
      </c>
      <c r="C24" t="s">
        <v>113</v>
      </c>
      <c r="D24" s="2">
        <v>2373.13</v>
      </c>
      <c r="E24">
        <v>1</v>
      </c>
      <c r="F24">
        <v>0.3</v>
      </c>
      <c r="G24" t="s">
        <v>14</v>
      </c>
      <c r="H24" t="s">
        <v>15</v>
      </c>
      <c r="I24" t="s">
        <v>16</v>
      </c>
      <c r="J24" s="2">
        <f>Table1_1[[#This Row],[Sales]]-Table1_1[[#This Row],[Sales]]*Table1_1[[#This Row],[Discount]]</f>
        <v>1661.1910000000003</v>
      </c>
      <c r="K24" s="1">
        <v>45053</v>
      </c>
      <c r="L24" s="11">
        <v>45059</v>
      </c>
      <c r="M24">
        <f>DATEDIF(Table1_1[[#This Row],[Order Date]],Table1_1[[#This Row],[Ship Date]],"D")</f>
        <v>6</v>
      </c>
    </row>
    <row r="25" spans="1:13" x14ac:dyDescent="0.35">
      <c r="A25" t="s">
        <v>47</v>
      </c>
      <c r="B25" t="s">
        <v>48</v>
      </c>
      <c r="C25" t="s">
        <v>46</v>
      </c>
      <c r="D25" s="2">
        <v>1835.05</v>
      </c>
      <c r="E25">
        <v>9</v>
      </c>
      <c r="F25">
        <v>0.1</v>
      </c>
      <c r="G25" t="s">
        <v>14</v>
      </c>
      <c r="H25" t="s">
        <v>15</v>
      </c>
      <c r="I25" t="s">
        <v>16</v>
      </c>
      <c r="J25" s="2">
        <f>Table1_1[[#This Row],[Sales]]-Table1_1[[#This Row],[Sales]]*Table1_1[[#This Row],[Discount]]</f>
        <v>1651.5450000000001</v>
      </c>
      <c r="K25" s="1">
        <v>45242</v>
      </c>
      <c r="L25" s="11">
        <v>45249</v>
      </c>
      <c r="M25">
        <f>DATEDIF(Table1_1[[#This Row],[Order Date]],Table1_1[[#This Row],[Ship Date]],"D")</f>
        <v>7</v>
      </c>
    </row>
    <row r="26" spans="1:13" x14ac:dyDescent="0.35">
      <c r="A26" t="s">
        <v>69</v>
      </c>
      <c r="B26" t="s">
        <v>70</v>
      </c>
      <c r="C26" t="s">
        <v>68</v>
      </c>
      <c r="D26" s="2">
        <v>211.91</v>
      </c>
      <c r="E26">
        <v>9</v>
      </c>
      <c r="F26">
        <v>0.1</v>
      </c>
      <c r="G26" t="s">
        <v>19</v>
      </c>
      <c r="H26" t="s">
        <v>21</v>
      </c>
      <c r="I26" t="s">
        <v>43</v>
      </c>
      <c r="J26" s="2">
        <f>Table1_1[[#This Row],[Sales]]-Table1_1[[#This Row],[Sales]]*Table1_1[[#This Row],[Discount]]</f>
        <v>190.71899999999999</v>
      </c>
      <c r="K26" s="1">
        <v>45470</v>
      </c>
      <c r="L26" s="11">
        <v>45475</v>
      </c>
      <c r="M26">
        <f>DATEDIF(Table1_1[[#This Row],[Order Date]],Table1_1[[#This Row],[Ship Date]],"D")</f>
        <v>5</v>
      </c>
    </row>
    <row r="27" spans="1:13" x14ac:dyDescent="0.35">
      <c r="A27" t="s">
        <v>116</v>
      </c>
      <c r="B27" t="s">
        <v>117</v>
      </c>
      <c r="C27" t="s">
        <v>118</v>
      </c>
      <c r="D27" s="2">
        <v>4757.71</v>
      </c>
      <c r="E27">
        <v>5</v>
      </c>
      <c r="F27">
        <v>0</v>
      </c>
      <c r="G27" t="s">
        <v>19</v>
      </c>
      <c r="H27" t="s">
        <v>21</v>
      </c>
      <c r="I27" t="s">
        <v>43</v>
      </c>
      <c r="J27" s="2">
        <f>Table1_1[[#This Row],[Sales]]-Table1_1[[#This Row],[Sales]]*Table1_1[[#This Row],[Discount]]</f>
        <v>4757.71</v>
      </c>
      <c r="K27" s="1">
        <v>45449</v>
      </c>
      <c r="L27" s="11">
        <v>45451</v>
      </c>
      <c r="M27">
        <f>DATEDIF(Table1_1[[#This Row],[Order Date]],Table1_1[[#This Row],[Ship Date]],"D")</f>
        <v>2</v>
      </c>
    </row>
    <row r="28" spans="1:13" x14ac:dyDescent="0.35">
      <c r="A28" t="s">
        <v>123</v>
      </c>
      <c r="B28" t="s">
        <v>124</v>
      </c>
      <c r="C28" t="s">
        <v>125</v>
      </c>
      <c r="D28" s="2">
        <v>4361.1000000000004</v>
      </c>
      <c r="E28">
        <v>3</v>
      </c>
      <c r="F28">
        <v>0.1</v>
      </c>
      <c r="G28" t="s">
        <v>14</v>
      </c>
      <c r="H28" t="s">
        <v>21</v>
      </c>
      <c r="I28" t="s">
        <v>16</v>
      </c>
      <c r="J28" s="2">
        <f>Table1_1[[#This Row],[Sales]]-Table1_1[[#This Row],[Sales]]*Table1_1[[#This Row],[Discount]]</f>
        <v>3924.9900000000002</v>
      </c>
      <c r="K28" s="1">
        <v>45491</v>
      </c>
      <c r="L28" s="11">
        <v>45498</v>
      </c>
      <c r="M28">
        <f>DATEDIF(Table1_1[[#This Row],[Order Date]],Table1_1[[#This Row],[Ship Date]],"D")</f>
        <v>7</v>
      </c>
    </row>
    <row r="29" spans="1:13" x14ac:dyDescent="0.35">
      <c r="A29" t="s">
        <v>126</v>
      </c>
      <c r="B29" t="s">
        <v>127</v>
      </c>
      <c r="C29" t="s">
        <v>128</v>
      </c>
      <c r="D29" s="2">
        <v>2229.5</v>
      </c>
      <c r="E29">
        <v>3</v>
      </c>
      <c r="F29">
        <v>0.2</v>
      </c>
      <c r="G29" t="s">
        <v>14</v>
      </c>
      <c r="H29" t="s">
        <v>21</v>
      </c>
      <c r="I29" t="s">
        <v>16</v>
      </c>
      <c r="J29" s="2">
        <f>Table1_1[[#This Row],[Sales]]-Table1_1[[#This Row],[Sales]]*Table1_1[[#This Row],[Discount]]</f>
        <v>1783.6</v>
      </c>
      <c r="K29" s="1">
        <v>44933</v>
      </c>
      <c r="L29" s="11">
        <v>44940</v>
      </c>
      <c r="M29">
        <f>DATEDIF(Table1_1[[#This Row],[Order Date]],Table1_1[[#This Row],[Ship Date]],"D")</f>
        <v>7</v>
      </c>
    </row>
    <row r="30" spans="1:13" x14ac:dyDescent="0.35">
      <c r="A30" t="s">
        <v>133</v>
      </c>
      <c r="B30" t="s">
        <v>134</v>
      </c>
      <c r="C30" t="s">
        <v>135</v>
      </c>
      <c r="D30" s="2">
        <v>1955.13</v>
      </c>
      <c r="E30">
        <v>5</v>
      </c>
      <c r="F30">
        <v>0.2</v>
      </c>
      <c r="G30" t="s">
        <v>14</v>
      </c>
      <c r="H30" t="s">
        <v>21</v>
      </c>
      <c r="I30" t="s">
        <v>20</v>
      </c>
      <c r="J30" s="2">
        <f>Table1_1[[#This Row],[Sales]]-Table1_1[[#This Row],[Sales]]*Table1_1[[#This Row],[Discount]]</f>
        <v>1564.104</v>
      </c>
      <c r="K30" s="1">
        <v>45670</v>
      </c>
      <c r="L30" s="11">
        <v>45671</v>
      </c>
      <c r="M30">
        <f>DATEDIF(Table1_1[[#This Row],[Order Date]],Table1_1[[#This Row],[Ship Date]],"D")</f>
        <v>1</v>
      </c>
    </row>
    <row r="31" spans="1:13" x14ac:dyDescent="0.35">
      <c r="A31" t="s">
        <v>141</v>
      </c>
      <c r="B31" t="s">
        <v>142</v>
      </c>
      <c r="C31" t="s">
        <v>143</v>
      </c>
      <c r="D31" s="2">
        <v>937.61</v>
      </c>
      <c r="E31">
        <v>6</v>
      </c>
      <c r="F31">
        <v>0.3</v>
      </c>
      <c r="G31" t="s">
        <v>19</v>
      </c>
      <c r="H31" t="s">
        <v>15</v>
      </c>
      <c r="I31" t="s">
        <v>20</v>
      </c>
      <c r="J31" s="2">
        <f>Table1_1[[#This Row],[Sales]]-Table1_1[[#This Row],[Sales]]*Table1_1[[#This Row],[Discount]]</f>
        <v>656.327</v>
      </c>
      <c r="K31" s="1">
        <v>45504</v>
      </c>
      <c r="L31" s="11">
        <v>45511</v>
      </c>
      <c r="M31">
        <f>DATEDIF(Table1_1[[#This Row],[Order Date]],Table1_1[[#This Row],[Ship Date]],"D")</f>
        <v>7</v>
      </c>
    </row>
    <row r="32" spans="1:13" x14ac:dyDescent="0.35">
      <c r="A32" t="s">
        <v>144</v>
      </c>
      <c r="B32" t="s">
        <v>145</v>
      </c>
      <c r="C32" t="s">
        <v>146</v>
      </c>
      <c r="D32" s="2">
        <v>1826.36</v>
      </c>
      <c r="E32">
        <v>8</v>
      </c>
      <c r="F32">
        <v>0.3</v>
      </c>
      <c r="G32" t="s">
        <v>14</v>
      </c>
      <c r="H32" t="s">
        <v>15</v>
      </c>
      <c r="I32" t="s">
        <v>43</v>
      </c>
      <c r="J32" s="2">
        <f>Table1_1[[#This Row],[Sales]]-Table1_1[[#This Row],[Sales]]*Table1_1[[#This Row],[Discount]]</f>
        <v>1278.452</v>
      </c>
      <c r="K32" s="1">
        <v>45540</v>
      </c>
      <c r="L32" s="11">
        <v>45544</v>
      </c>
      <c r="M32">
        <f>DATEDIF(Table1_1[[#This Row],[Order Date]],Table1_1[[#This Row],[Ship Date]],"D")</f>
        <v>4</v>
      </c>
    </row>
    <row r="33" spans="1:13" x14ac:dyDescent="0.35">
      <c r="A33" t="s">
        <v>74</v>
      </c>
      <c r="B33" t="s">
        <v>45</v>
      </c>
      <c r="C33" t="s">
        <v>73</v>
      </c>
      <c r="D33" s="2">
        <v>1272.23</v>
      </c>
      <c r="E33">
        <v>4</v>
      </c>
      <c r="F33">
        <v>0.1</v>
      </c>
      <c r="G33" t="s">
        <v>14</v>
      </c>
      <c r="H33" t="s">
        <v>15</v>
      </c>
      <c r="I33" t="s">
        <v>43</v>
      </c>
      <c r="J33" s="2">
        <f>Table1_1[[#This Row],[Sales]]-Table1_1[[#This Row],[Sales]]*Table1_1[[#This Row],[Discount]]</f>
        <v>1145.0070000000001</v>
      </c>
      <c r="K33" s="1">
        <v>45755</v>
      </c>
      <c r="L33" s="11">
        <v>45758</v>
      </c>
      <c r="M33">
        <f>DATEDIF(Table1_1[[#This Row],[Order Date]],Table1_1[[#This Row],[Ship Date]],"D")</f>
        <v>3</v>
      </c>
    </row>
    <row r="34" spans="1:13" x14ac:dyDescent="0.35">
      <c r="A34" t="s">
        <v>49</v>
      </c>
      <c r="B34" t="s">
        <v>50</v>
      </c>
      <c r="C34" t="s">
        <v>46</v>
      </c>
      <c r="D34" s="2">
        <v>1665.1</v>
      </c>
      <c r="E34">
        <v>5</v>
      </c>
      <c r="F34">
        <v>0.2</v>
      </c>
      <c r="G34" t="s">
        <v>19</v>
      </c>
      <c r="H34" t="s">
        <v>21</v>
      </c>
      <c r="I34" t="s">
        <v>20</v>
      </c>
      <c r="J34" s="2">
        <f>Table1_1[[#This Row],[Sales]]-Table1_1[[#This Row],[Sales]]*Table1_1[[#This Row],[Discount]]</f>
        <v>1332.08</v>
      </c>
      <c r="K34" s="1">
        <v>45707</v>
      </c>
      <c r="L34" s="11">
        <v>45714</v>
      </c>
      <c r="M34">
        <f>DATEDIF(Table1_1[[#This Row],[Order Date]],Table1_1[[#This Row],[Ship Date]],"D")</f>
        <v>7</v>
      </c>
    </row>
    <row r="35" spans="1:13" x14ac:dyDescent="0.35">
      <c r="A35" t="s">
        <v>147</v>
      </c>
      <c r="B35" t="s">
        <v>12</v>
      </c>
      <c r="C35" t="s">
        <v>148</v>
      </c>
      <c r="D35" s="2">
        <v>2750.8850000000002</v>
      </c>
      <c r="E35">
        <v>5</v>
      </c>
      <c r="F35">
        <v>0.2</v>
      </c>
      <c r="G35" t="s">
        <v>14</v>
      </c>
      <c r="H35" t="s">
        <v>15</v>
      </c>
      <c r="I35" t="s">
        <v>43</v>
      </c>
      <c r="J35" s="2">
        <f>Table1_1[[#This Row],[Sales]]-Table1_1[[#This Row],[Sales]]*Table1_1[[#This Row],[Discount]]</f>
        <v>2200.7080000000001</v>
      </c>
      <c r="K35" s="1">
        <v>45115</v>
      </c>
      <c r="L35" s="11">
        <v>45122</v>
      </c>
      <c r="M35">
        <f>DATEDIF(Table1_1[[#This Row],[Order Date]],Table1_1[[#This Row],[Ship Date]],"D")</f>
        <v>7</v>
      </c>
    </row>
    <row r="36" spans="1:13" x14ac:dyDescent="0.35">
      <c r="A36" t="s">
        <v>35</v>
      </c>
      <c r="B36" t="s">
        <v>36</v>
      </c>
      <c r="C36" t="s">
        <v>34</v>
      </c>
      <c r="D36" s="2">
        <v>1672.66</v>
      </c>
      <c r="E36">
        <v>7</v>
      </c>
      <c r="F36">
        <v>0.3</v>
      </c>
      <c r="G36" t="s">
        <v>14</v>
      </c>
      <c r="H36" t="s">
        <v>21</v>
      </c>
      <c r="I36" t="s">
        <v>16</v>
      </c>
      <c r="J36" s="2">
        <f>Table1_1[[#This Row],[Sales]]-Table1_1[[#This Row],[Sales]]*Table1_1[[#This Row],[Discount]]</f>
        <v>1170.8620000000001</v>
      </c>
      <c r="K36" s="1">
        <v>45166</v>
      </c>
      <c r="L36" s="11">
        <v>45170</v>
      </c>
      <c r="M36">
        <f>DATEDIF(Table1_1[[#This Row],[Order Date]],Table1_1[[#This Row],[Ship Date]],"D")</f>
        <v>4</v>
      </c>
    </row>
    <row r="37" spans="1:13" x14ac:dyDescent="0.35">
      <c r="A37" t="s">
        <v>150</v>
      </c>
      <c r="B37" t="s">
        <v>151</v>
      </c>
      <c r="C37" t="s">
        <v>152</v>
      </c>
      <c r="D37" s="2">
        <v>693.64</v>
      </c>
      <c r="E37">
        <v>10</v>
      </c>
      <c r="F37">
        <v>0.2</v>
      </c>
      <c r="G37" t="s">
        <v>14</v>
      </c>
      <c r="H37" t="s">
        <v>15</v>
      </c>
      <c r="I37" t="s">
        <v>43</v>
      </c>
      <c r="J37" s="2">
        <f>Table1_1[[#This Row],[Sales]]-Table1_1[[#This Row],[Sales]]*Table1_1[[#This Row],[Discount]]</f>
        <v>554.91200000000003</v>
      </c>
      <c r="K37" s="1">
        <v>45350</v>
      </c>
      <c r="L37" s="11">
        <v>45353</v>
      </c>
      <c r="M37">
        <f>DATEDIF(Table1_1[[#This Row],[Order Date]],Table1_1[[#This Row],[Ship Date]],"D")</f>
        <v>3</v>
      </c>
    </row>
    <row r="38" spans="1:13" x14ac:dyDescent="0.35">
      <c r="A38" t="s">
        <v>155</v>
      </c>
      <c r="B38" t="s">
        <v>156</v>
      </c>
      <c r="C38" t="s">
        <v>157</v>
      </c>
      <c r="D38" s="2">
        <v>4001.92</v>
      </c>
      <c r="E38">
        <v>4</v>
      </c>
      <c r="F38">
        <v>0.3</v>
      </c>
      <c r="G38" t="s">
        <v>19</v>
      </c>
      <c r="H38" t="s">
        <v>15</v>
      </c>
      <c r="I38" t="s">
        <v>43</v>
      </c>
      <c r="J38" s="2">
        <f>Table1_1[[#This Row],[Sales]]-Table1_1[[#This Row],[Sales]]*Table1_1[[#This Row],[Discount]]</f>
        <v>2801.3440000000001</v>
      </c>
      <c r="K38" s="1">
        <v>45272</v>
      </c>
      <c r="L38" s="11">
        <v>45273</v>
      </c>
      <c r="M38">
        <f>DATEDIF(Table1_1[[#This Row],[Order Date]],Table1_1[[#This Row],[Ship Date]],"D")</f>
        <v>1</v>
      </c>
    </row>
    <row r="39" spans="1:13" x14ac:dyDescent="0.35">
      <c r="A39" t="s">
        <v>158</v>
      </c>
      <c r="B39" t="s">
        <v>159</v>
      </c>
      <c r="C39" t="s">
        <v>160</v>
      </c>
      <c r="D39" s="2">
        <v>321.95</v>
      </c>
      <c r="E39">
        <v>3</v>
      </c>
      <c r="F39">
        <v>0</v>
      </c>
      <c r="G39" t="s">
        <v>39</v>
      </c>
      <c r="H39" t="s">
        <v>15</v>
      </c>
      <c r="I39" t="s">
        <v>20</v>
      </c>
      <c r="J39" s="2">
        <f>Table1_1[[#This Row],[Sales]]-Table1_1[[#This Row],[Sales]]*Table1_1[[#This Row],[Discount]]</f>
        <v>321.95</v>
      </c>
      <c r="K39" s="1">
        <v>45135</v>
      </c>
      <c r="L39" s="11">
        <v>45138</v>
      </c>
      <c r="M39">
        <f>DATEDIF(Table1_1[[#This Row],[Order Date]],Table1_1[[#This Row],[Ship Date]],"D")</f>
        <v>3</v>
      </c>
    </row>
    <row r="40" spans="1:13" x14ac:dyDescent="0.35">
      <c r="A40" t="s">
        <v>129</v>
      </c>
      <c r="B40" t="s">
        <v>130</v>
      </c>
      <c r="C40" t="s">
        <v>128</v>
      </c>
      <c r="D40" s="2">
        <v>341.45</v>
      </c>
      <c r="E40">
        <v>8</v>
      </c>
      <c r="F40">
        <v>0.3</v>
      </c>
      <c r="G40" t="s">
        <v>14</v>
      </c>
      <c r="H40" t="s">
        <v>15</v>
      </c>
      <c r="I40" t="s">
        <v>43</v>
      </c>
      <c r="J40" s="2">
        <f>Table1_1[[#This Row],[Sales]]-Table1_1[[#This Row],[Sales]]*Table1_1[[#This Row],[Discount]]</f>
        <v>239.01499999999999</v>
      </c>
      <c r="K40" s="1">
        <v>45776</v>
      </c>
      <c r="L40" s="11">
        <v>45777</v>
      </c>
      <c r="M40">
        <f>DATEDIF(Table1_1[[#This Row],[Order Date]],Table1_1[[#This Row],[Ship Date]],"D")</f>
        <v>1</v>
      </c>
    </row>
    <row r="41" spans="1:13" x14ac:dyDescent="0.35">
      <c r="A41" t="s">
        <v>136</v>
      </c>
      <c r="B41" t="s">
        <v>137</v>
      </c>
      <c r="C41" t="s">
        <v>135</v>
      </c>
      <c r="D41" s="2">
        <v>2235.52</v>
      </c>
      <c r="E41">
        <v>9</v>
      </c>
      <c r="F41">
        <v>0.3</v>
      </c>
      <c r="G41" t="s">
        <v>14</v>
      </c>
      <c r="H41" t="s">
        <v>15</v>
      </c>
      <c r="I41" t="s">
        <v>43</v>
      </c>
      <c r="J41" s="2">
        <f>Table1_1[[#This Row],[Sales]]-Table1_1[[#This Row],[Sales]]*Table1_1[[#This Row],[Discount]]</f>
        <v>1564.864</v>
      </c>
      <c r="K41" s="1">
        <v>45797</v>
      </c>
      <c r="L41" s="11">
        <v>45801</v>
      </c>
      <c r="M41">
        <f>DATEDIF(Table1_1[[#This Row],[Order Date]],Table1_1[[#This Row],[Ship Date]],"D")</f>
        <v>4</v>
      </c>
    </row>
    <row r="42" spans="1:13" x14ac:dyDescent="0.35">
      <c r="A42" t="s">
        <v>161</v>
      </c>
      <c r="B42" t="s">
        <v>162</v>
      </c>
      <c r="C42" t="s">
        <v>163</v>
      </c>
      <c r="D42" s="2">
        <v>3017.92</v>
      </c>
      <c r="E42">
        <v>9</v>
      </c>
      <c r="F42">
        <v>0.3</v>
      </c>
      <c r="G42" t="s">
        <v>14</v>
      </c>
      <c r="H42" t="s">
        <v>21</v>
      </c>
      <c r="I42" t="s">
        <v>20</v>
      </c>
      <c r="J42" s="2">
        <f>Table1_1[[#This Row],[Sales]]-Table1_1[[#This Row],[Sales]]*Table1_1[[#This Row],[Discount]]</f>
        <v>2112.5439999999999</v>
      </c>
      <c r="K42" s="1">
        <v>45642</v>
      </c>
      <c r="L42" s="11">
        <v>45646</v>
      </c>
      <c r="M42">
        <f>DATEDIF(Table1_1[[#This Row],[Order Date]],Table1_1[[#This Row],[Ship Date]],"D")</f>
        <v>4</v>
      </c>
    </row>
    <row r="43" spans="1:13" x14ac:dyDescent="0.35">
      <c r="A43" t="s">
        <v>95</v>
      </c>
      <c r="B43" t="s">
        <v>96</v>
      </c>
      <c r="C43" t="s">
        <v>94</v>
      </c>
      <c r="D43" s="2">
        <v>3811.17</v>
      </c>
      <c r="E43">
        <v>10</v>
      </c>
      <c r="F43">
        <v>0.3</v>
      </c>
      <c r="G43" t="s">
        <v>39</v>
      </c>
      <c r="H43" t="s">
        <v>15</v>
      </c>
      <c r="I43" t="s">
        <v>16</v>
      </c>
      <c r="J43" s="2">
        <f>Table1_1[[#This Row],[Sales]]-Table1_1[[#This Row],[Sales]]*Table1_1[[#This Row],[Discount]]</f>
        <v>2667.8190000000004</v>
      </c>
      <c r="K43" s="1">
        <v>45728</v>
      </c>
      <c r="L43" s="11">
        <v>45729</v>
      </c>
      <c r="M43">
        <f>DATEDIF(Table1_1[[#This Row],[Order Date]],Table1_1[[#This Row],[Ship Date]],"D")</f>
        <v>1</v>
      </c>
    </row>
    <row r="44" spans="1:13" x14ac:dyDescent="0.35">
      <c r="A44" t="s">
        <v>78</v>
      </c>
      <c r="B44" t="s">
        <v>79</v>
      </c>
      <c r="C44" t="s">
        <v>77</v>
      </c>
      <c r="D44" s="2">
        <v>2940.88</v>
      </c>
      <c r="E44">
        <v>8</v>
      </c>
      <c r="F44">
        <v>0</v>
      </c>
      <c r="G44" t="s">
        <v>14</v>
      </c>
      <c r="H44" t="s">
        <v>15</v>
      </c>
      <c r="I44" t="s">
        <v>20</v>
      </c>
      <c r="J44" s="2">
        <f>Table1_1[[#This Row],[Sales]]-Table1_1[[#This Row],[Sales]]*Table1_1[[#This Row],[Discount]]</f>
        <v>2940.88</v>
      </c>
      <c r="K44" s="1">
        <v>45741</v>
      </c>
      <c r="L44" s="11">
        <v>45743</v>
      </c>
      <c r="M44">
        <f>DATEDIF(Table1_1[[#This Row],[Order Date]],Table1_1[[#This Row],[Ship Date]],"D")</f>
        <v>2</v>
      </c>
    </row>
    <row r="45" spans="1:13" x14ac:dyDescent="0.35">
      <c r="A45" t="s">
        <v>164</v>
      </c>
      <c r="B45" t="s">
        <v>165</v>
      </c>
      <c r="C45" t="s">
        <v>166</v>
      </c>
      <c r="D45" s="2">
        <v>2383.6</v>
      </c>
      <c r="E45">
        <v>5</v>
      </c>
      <c r="F45">
        <v>0.1</v>
      </c>
      <c r="G45" t="s">
        <v>14</v>
      </c>
      <c r="H45" t="s">
        <v>21</v>
      </c>
      <c r="I45" t="s">
        <v>16</v>
      </c>
      <c r="J45" s="2">
        <f>Table1_1[[#This Row],[Sales]]-Table1_1[[#This Row],[Sales]]*Table1_1[[#This Row],[Discount]]</f>
        <v>2145.2399999999998</v>
      </c>
      <c r="K45" s="1">
        <v>45665</v>
      </c>
      <c r="L45" s="11">
        <v>45666</v>
      </c>
      <c r="M45">
        <f>DATEDIF(Table1_1[[#This Row],[Order Date]],Table1_1[[#This Row],[Ship Date]],"D")</f>
        <v>1</v>
      </c>
    </row>
    <row r="46" spans="1:13" x14ac:dyDescent="0.35">
      <c r="A46" t="s">
        <v>167</v>
      </c>
      <c r="B46" t="s">
        <v>168</v>
      </c>
      <c r="C46" t="s">
        <v>169</v>
      </c>
      <c r="D46" s="2">
        <v>2114.2600000000002</v>
      </c>
      <c r="E46">
        <v>5</v>
      </c>
      <c r="F46">
        <v>0.3</v>
      </c>
      <c r="G46" t="s">
        <v>39</v>
      </c>
      <c r="H46" t="s">
        <v>15</v>
      </c>
      <c r="I46" t="s">
        <v>16</v>
      </c>
      <c r="J46" s="2">
        <f>Table1_1[[#This Row],[Sales]]-Table1_1[[#This Row],[Sales]]*Table1_1[[#This Row],[Discount]]</f>
        <v>1479.9820000000002</v>
      </c>
      <c r="K46" s="1">
        <v>45201</v>
      </c>
      <c r="L46" s="11">
        <v>45202</v>
      </c>
      <c r="M46">
        <f>DATEDIF(Table1_1[[#This Row],[Order Date]],Table1_1[[#This Row],[Ship Date]],"D")</f>
        <v>1</v>
      </c>
    </row>
    <row r="47" spans="1:13" x14ac:dyDescent="0.35">
      <c r="A47" t="s">
        <v>119</v>
      </c>
      <c r="B47" t="s">
        <v>120</v>
      </c>
      <c r="C47" t="s">
        <v>118</v>
      </c>
      <c r="D47" s="2">
        <v>4750.04</v>
      </c>
      <c r="E47">
        <v>9</v>
      </c>
      <c r="F47">
        <v>0.1</v>
      </c>
      <c r="G47" t="s">
        <v>14</v>
      </c>
      <c r="H47" t="s">
        <v>15</v>
      </c>
      <c r="I47" t="s">
        <v>16</v>
      </c>
      <c r="J47" s="2">
        <f>Table1_1[[#This Row],[Sales]]-Table1_1[[#This Row],[Sales]]*Table1_1[[#This Row],[Discount]]</f>
        <v>4275.0360000000001</v>
      </c>
      <c r="K47" s="1">
        <v>45042</v>
      </c>
      <c r="L47" s="11">
        <v>45047</v>
      </c>
      <c r="M47">
        <f>DATEDIF(Table1_1[[#This Row],[Order Date]],Table1_1[[#This Row],[Ship Date]],"D")</f>
        <v>5</v>
      </c>
    </row>
    <row r="48" spans="1:13" x14ac:dyDescent="0.35">
      <c r="A48" t="s">
        <v>174</v>
      </c>
      <c r="B48" t="s">
        <v>137</v>
      </c>
      <c r="C48" t="s">
        <v>175</v>
      </c>
      <c r="D48" s="2">
        <v>2297.58</v>
      </c>
      <c r="E48">
        <v>4</v>
      </c>
      <c r="F48">
        <v>0.3</v>
      </c>
      <c r="G48" t="s">
        <v>14</v>
      </c>
      <c r="H48" t="s">
        <v>15</v>
      </c>
      <c r="I48" t="s">
        <v>16</v>
      </c>
      <c r="J48" s="2">
        <f>Table1_1[[#This Row],[Sales]]-Table1_1[[#This Row],[Sales]]*Table1_1[[#This Row],[Discount]]</f>
        <v>1608.306</v>
      </c>
      <c r="K48" s="1">
        <v>45727</v>
      </c>
      <c r="L48" s="11">
        <v>45733</v>
      </c>
      <c r="M48">
        <f>DATEDIF(Table1_1[[#This Row],[Order Date]],Table1_1[[#This Row],[Ship Date]],"D")</f>
        <v>6</v>
      </c>
    </row>
    <row r="49" spans="1:13" x14ac:dyDescent="0.35">
      <c r="A49" t="s">
        <v>170</v>
      </c>
      <c r="B49" t="s">
        <v>171</v>
      </c>
      <c r="C49" t="s">
        <v>169</v>
      </c>
      <c r="D49" s="2">
        <v>1749.1</v>
      </c>
      <c r="E49">
        <v>6</v>
      </c>
      <c r="F49">
        <v>0.2</v>
      </c>
      <c r="G49" t="s">
        <v>19</v>
      </c>
      <c r="H49" t="s">
        <v>15</v>
      </c>
      <c r="I49" t="s">
        <v>43</v>
      </c>
      <c r="J49" s="2">
        <f>Table1_1[[#This Row],[Sales]]-Table1_1[[#This Row],[Sales]]*Table1_1[[#This Row],[Discount]]</f>
        <v>1399.28</v>
      </c>
      <c r="K49" s="1">
        <v>45773</v>
      </c>
      <c r="L49" s="11">
        <v>45777</v>
      </c>
      <c r="M49">
        <f>DATEDIF(Table1_1[[#This Row],[Order Date]],Table1_1[[#This Row],[Ship Date]],"D")</f>
        <v>4</v>
      </c>
    </row>
    <row r="50" spans="1:13" x14ac:dyDescent="0.35">
      <c r="A50" t="s">
        <v>51</v>
      </c>
      <c r="B50" t="s">
        <v>52</v>
      </c>
      <c r="C50" t="s">
        <v>46</v>
      </c>
      <c r="D50" s="2">
        <v>1427.32</v>
      </c>
      <c r="E50">
        <v>6</v>
      </c>
      <c r="F50">
        <v>0.2</v>
      </c>
      <c r="G50" t="s">
        <v>39</v>
      </c>
      <c r="H50" t="s">
        <v>15</v>
      </c>
      <c r="I50" t="s">
        <v>20</v>
      </c>
      <c r="J50" s="2">
        <f>Table1_1[[#This Row],[Sales]]-Table1_1[[#This Row],[Sales]]*Table1_1[[#This Row],[Discount]]</f>
        <v>1141.856</v>
      </c>
      <c r="K50" s="1">
        <v>45226</v>
      </c>
      <c r="L50" s="11">
        <v>45233</v>
      </c>
      <c r="M50">
        <f>DATEDIF(Table1_1[[#This Row],[Order Date]],Table1_1[[#This Row],[Ship Date]],"D")</f>
        <v>7</v>
      </c>
    </row>
    <row r="51" spans="1:13" x14ac:dyDescent="0.35">
      <c r="A51" t="s">
        <v>131</v>
      </c>
      <c r="B51" t="s">
        <v>52</v>
      </c>
      <c r="C51" t="s">
        <v>128</v>
      </c>
      <c r="D51" s="2">
        <v>1752.7</v>
      </c>
      <c r="E51">
        <v>2</v>
      </c>
      <c r="F51">
        <v>0.3</v>
      </c>
      <c r="G51" t="s">
        <v>39</v>
      </c>
      <c r="H51" t="s">
        <v>21</v>
      </c>
      <c r="I51" t="s">
        <v>43</v>
      </c>
      <c r="J51" s="2">
        <f>Table1_1[[#This Row],[Sales]]-Table1_1[[#This Row],[Sales]]*Table1_1[[#This Row],[Discount]]</f>
        <v>1226.8900000000001</v>
      </c>
      <c r="K51" s="1">
        <v>44983</v>
      </c>
      <c r="L51" s="11">
        <v>44989</v>
      </c>
      <c r="M51">
        <f>DATEDIF(Table1_1[[#This Row],[Order Date]],Table1_1[[#This Row],[Ship Date]],"D")</f>
        <v>6</v>
      </c>
    </row>
    <row r="52" spans="1:13" x14ac:dyDescent="0.35">
      <c r="A52" t="s">
        <v>109</v>
      </c>
      <c r="B52" t="s">
        <v>110</v>
      </c>
      <c r="C52" t="s">
        <v>108</v>
      </c>
      <c r="D52" s="2">
        <v>767.79</v>
      </c>
      <c r="E52">
        <v>1</v>
      </c>
      <c r="F52">
        <v>0.1</v>
      </c>
      <c r="G52" t="s">
        <v>14</v>
      </c>
      <c r="H52" t="s">
        <v>15</v>
      </c>
      <c r="I52" t="s">
        <v>20</v>
      </c>
      <c r="J52" s="2">
        <f>Table1_1[[#This Row],[Sales]]-Table1_1[[#This Row],[Sales]]*Table1_1[[#This Row],[Discount]]</f>
        <v>691.01099999999997</v>
      </c>
      <c r="K52" s="1">
        <v>45785</v>
      </c>
      <c r="L52" s="11">
        <v>45786</v>
      </c>
      <c r="M52">
        <f>DATEDIF(Table1_1[[#This Row],[Order Date]],Table1_1[[#This Row],[Ship Date]],"D")</f>
        <v>1</v>
      </c>
    </row>
    <row r="53" spans="1:13" x14ac:dyDescent="0.35">
      <c r="A53" t="s">
        <v>176</v>
      </c>
      <c r="B53" t="s">
        <v>177</v>
      </c>
      <c r="C53" t="s">
        <v>178</v>
      </c>
      <c r="D53" s="2">
        <v>2543.8200000000002</v>
      </c>
      <c r="E53">
        <v>4</v>
      </c>
      <c r="F53">
        <v>0</v>
      </c>
      <c r="G53" t="s">
        <v>39</v>
      </c>
      <c r="H53" t="s">
        <v>15</v>
      </c>
      <c r="I53" t="s">
        <v>20</v>
      </c>
      <c r="J53" s="2">
        <f>Table1_1[[#This Row],[Sales]]-Table1_1[[#This Row],[Sales]]*Table1_1[[#This Row],[Discount]]</f>
        <v>2543.8200000000002</v>
      </c>
      <c r="K53" s="1">
        <v>45623</v>
      </c>
      <c r="L53" s="11">
        <v>45630</v>
      </c>
      <c r="M53">
        <f>DATEDIF(Table1_1[[#This Row],[Order Date]],Table1_1[[#This Row],[Ship Date]],"D")</f>
        <v>7</v>
      </c>
    </row>
    <row r="54" spans="1:13" x14ac:dyDescent="0.35">
      <c r="A54" t="s">
        <v>179</v>
      </c>
      <c r="B54" t="s">
        <v>112</v>
      </c>
      <c r="C54" t="s">
        <v>180</v>
      </c>
      <c r="D54" s="2">
        <v>1719.97</v>
      </c>
      <c r="E54">
        <v>7</v>
      </c>
      <c r="F54">
        <v>0.1</v>
      </c>
      <c r="G54" t="s">
        <v>19</v>
      </c>
      <c r="H54" t="s">
        <v>15</v>
      </c>
      <c r="I54" t="s">
        <v>43</v>
      </c>
      <c r="J54" s="2">
        <f>Table1_1[[#This Row],[Sales]]-Table1_1[[#This Row],[Sales]]*Table1_1[[#This Row],[Discount]]</f>
        <v>1547.973</v>
      </c>
      <c r="K54" s="1">
        <v>45352</v>
      </c>
      <c r="L54" s="11">
        <v>45354</v>
      </c>
      <c r="M54">
        <f>DATEDIF(Table1_1[[#This Row],[Order Date]],Table1_1[[#This Row],[Ship Date]],"D")</f>
        <v>2</v>
      </c>
    </row>
    <row r="55" spans="1:13" x14ac:dyDescent="0.35">
      <c r="A55" t="s">
        <v>138</v>
      </c>
      <c r="B55" t="s">
        <v>93</v>
      </c>
      <c r="C55" t="s">
        <v>135</v>
      </c>
      <c r="D55" s="2">
        <v>110.43</v>
      </c>
      <c r="E55">
        <v>3</v>
      </c>
      <c r="F55">
        <v>0.3</v>
      </c>
      <c r="G55" t="s">
        <v>39</v>
      </c>
      <c r="H55" t="s">
        <v>15</v>
      </c>
      <c r="I55" t="s">
        <v>43</v>
      </c>
      <c r="J55" s="2">
        <f>Table1_1[[#This Row],[Sales]]-Table1_1[[#This Row],[Sales]]*Table1_1[[#This Row],[Discount]]</f>
        <v>77.301000000000016</v>
      </c>
      <c r="K55" s="1">
        <v>45661</v>
      </c>
      <c r="L55" s="11">
        <v>45662</v>
      </c>
      <c r="M55">
        <f>DATEDIF(Table1_1[[#This Row],[Order Date]],Table1_1[[#This Row],[Ship Date]],"D")</f>
        <v>1</v>
      </c>
    </row>
    <row r="56" spans="1:13" x14ac:dyDescent="0.35">
      <c r="A56" t="s">
        <v>183</v>
      </c>
      <c r="B56" t="s">
        <v>184</v>
      </c>
      <c r="C56" t="s">
        <v>185</v>
      </c>
      <c r="D56" s="2">
        <v>4223.08</v>
      </c>
      <c r="E56">
        <v>6</v>
      </c>
      <c r="F56">
        <v>0.1</v>
      </c>
      <c r="G56" t="s">
        <v>39</v>
      </c>
      <c r="H56" t="s">
        <v>15</v>
      </c>
      <c r="I56" t="s">
        <v>43</v>
      </c>
      <c r="J56" s="2">
        <f>Table1_1[[#This Row],[Sales]]-Table1_1[[#This Row],[Sales]]*Table1_1[[#This Row],[Discount]]</f>
        <v>3800.7719999999999</v>
      </c>
      <c r="K56" s="1">
        <v>45455</v>
      </c>
      <c r="L56" s="11">
        <v>45456</v>
      </c>
      <c r="M56">
        <f>DATEDIF(Table1_1[[#This Row],[Order Date]],Table1_1[[#This Row],[Ship Date]],"D")</f>
        <v>1</v>
      </c>
    </row>
    <row r="57" spans="1:13" x14ac:dyDescent="0.35">
      <c r="A57" t="s">
        <v>188</v>
      </c>
      <c r="B57" t="s">
        <v>189</v>
      </c>
      <c r="C57" t="s">
        <v>190</v>
      </c>
      <c r="D57" s="2">
        <v>2591.16</v>
      </c>
      <c r="E57">
        <v>3</v>
      </c>
      <c r="F57">
        <v>0.2</v>
      </c>
      <c r="G57" t="s">
        <v>14</v>
      </c>
      <c r="H57" t="s">
        <v>15</v>
      </c>
      <c r="I57" t="s">
        <v>16</v>
      </c>
      <c r="J57" s="2">
        <f>Table1_1[[#This Row],[Sales]]-Table1_1[[#This Row],[Sales]]*Table1_1[[#This Row],[Discount]]</f>
        <v>2072.9279999999999</v>
      </c>
      <c r="K57" s="1">
        <v>45055</v>
      </c>
      <c r="L57" s="11">
        <v>45057</v>
      </c>
      <c r="M57">
        <f>DATEDIF(Table1_1[[#This Row],[Order Date]],Table1_1[[#This Row],[Ship Date]],"D")</f>
        <v>2</v>
      </c>
    </row>
    <row r="58" spans="1:13" x14ac:dyDescent="0.35">
      <c r="A58" t="s">
        <v>192</v>
      </c>
      <c r="B58" t="s">
        <v>193</v>
      </c>
      <c r="C58" t="s">
        <v>194</v>
      </c>
      <c r="D58" s="2">
        <v>663.18</v>
      </c>
      <c r="E58">
        <v>6</v>
      </c>
      <c r="F58">
        <v>0</v>
      </c>
      <c r="G58" t="s">
        <v>19</v>
      </c>
      <c r="H58" t="s">
        <v>15</v>
      </c>
      <c r="I58" t="s">
        <v>16</v>
      </c>
      <c r="J58" s="2">
        <f>Table1_1[[#This Row],[Sales]]-Table1_1[[#This Row],[Sales]]*Table1_1[[#This Row],[Discount]]</f>
        <v>663.18</v>
      </c>
      <c r="K58" s="1">
        <v>45393</v>
      </c>
      <c r="L58" s="11">
        <v>45398</v>
      </c>
      <c r="M58">
        <f>DATEDIF(Table1_1[[#This Row],[Order Date]],Table1_1[[#This Row],[Ship Date]],"D")</f>
        <v>5</v>
      </c>
    </row>
    <row r="59" spans="1:13" x14ac:dyDescent="0.35">
      <c r="A59" t="s">
        <v>114</v>
      </c>
      <c r="B59" t="s">
        <v>115</v>
      </c>
      <c r="C59" t="s">
        <v>113</v>
      </c>
      <c r="D59" s="2">
        <v>767.89</v>
      </c>
      <c r="E59">
        <v>7</v>
      </c>
      <c r="F59">
        <v>0.3</v>
      </c>
      <c r="G59" t="s">
        <v>39</v>
      </c>
      <c r="H59" t="s">
        <v>15</v>
      </c>
      <c r="I59" t="s">
        <v>43</v>
      </c>
      <c r="J59" s="2">
        <f>Table1_1[[#This Row],[Sales]]-Table1_1[[#This Row],[Sales]]*Table1_1[[#This Row],[Discount]]</f>
        <v>537.52300000000002</v>
      </c>
      <c r="K59" s="1">
        <v>45625</v>
      </c>
      <c r="L59" s="11">
        <v>45628</v>
      </c>
      <c r="M59">
        <f>DATEDIF(Table1_1[[#This Row],[Order Date]],Table1_1[[#This Row],[Ship Date]],"D")</f>
        <v>3</v>
      </c>
    </row>
    <row r="60" spans="1:13" x14ac:dyDescent="0.35">
      <c r="A60" t="s">
        <v>195</v>
      </c>
      <c r="B60" t="s">
        <v>196</v>
      </c>
      <c r="C60" t="s">
        <v>197</v>
      </c>
      <c r="D60" s="2">
        <v>3473.73</v>
      </c>
      <c r="E60">
        <v>7</v>
      </c>
      <c r="F60">
        <v>0</v>
      </c>
      <c r="G60" t="s">
        <v>39</v>
      </c>
      <c r="H60" t="s">
        <v>21</v>
      </c>
      <c r="I60" t="s">
        <v>43</v>
      </c>
      <c r="J60" s="2">
        <f>Table1_1[[#This Row],[Sales]]-Table1_1[[#This Row],[Sales]]*Table1_1[[#This Row],[Discount]]</f>
        <v>3473.73</v>
      </c>
      <c r="K60" s="1">
        <v>45475</v>
      </c>
      <c r="L60" s="11">
        <v>45482</v>
      </c>
      <c r="M60">
        <f>DATEDIF(Table1_1[[#This Row],[Order Date]],Table1_1[[#This Row],[Ship Date]],"D")</f>
        <v>7</v>
      </c>
    </row>
    <row r="61" spans="1:13" x14ac:dyDescent="0.35">
      <c r="A61" t="s">
        <v>37</v>
      </c>
      <c r="B61" t="s">
        <v>38</v>
      </c>
      <c r="C61" t="s">
        <v>34</v>
      </c>
      <c r="D61" s="2">
        <v>3964.58</v>
      </c>
      <c r="E61">
        <v>4</v>
      </c>
      <c r="F61">
        <v>0</v>
      </c>
      <c r="G61" t="s">
        <v>39</v>
      </c>
      <c r="H61" t="s">
        <v>15</v>
      </c>
      <c r="I61" t="s">
        <v>16</v>
      </c>
      <c r="J61" s="2">
        <f>Table1_1[[#This Row],[Sales]]-Table1_1[[#This Row],[Sales]]*Table1_1[[#This Row],[Discount]]</f>
        <v>3964.58</v>
      </c>
      <c r="K61" s="1">
        <v>45181</v>
      </c>
      <c r="L61" s="11">
        <v>45184</v>
      </c>
      <c r="M61">
        <f>DATEDIF(Table1_1[[#This Row],[Order Date]],Table1_1[[#This Row],[Ship Date]],"D")</f>
        <v>3</v>
      </c>
    </row>
    <row r="62" spans="1:13" x14ac:dyDescent="0.35">
      <c r="A62" t="s">
        <v>202</v>
      </c>
      <c r="B62" t="s">
        <v>203</v>
      </c>
      <c r="C62" t="s">
        <v>204</v>
      </c>
      <c r="D62" s="2">
        <v>697.85</v>
      </c>
      <c r="E62">
        <v>2</v>
      </c>
      <c r="F62">
        <v>0.1</v>
      </c>
      <c r="G62" t="s">
        <v>14</v>
      </c>
      <c r="H62" t="s">
        <v>21</v>
      </c>
      <c r="I62" t="s">
        <v>20</v>
      </c>
      <c r="J62" s="2">
        <f>Table1_1[[#This Row],[Sales]]-Table1_1[[#This Row],[Sales]]*Table1_1[[#This Row],[Discount]]</f>
        <v>628.06500000000005</v>
      </c>
      <c r="K62" s="1">
        <v>45210</v>
      </c>
      <c r="L62" s="11">
        <v>45213</v>
      </c>
      <c r="M62">
        <f>DATEDIF(Table1_1[[#This Row],[Order Date]],Table1_1[[#This Row],[Ship Date]],"D")</f>
        <v>3</v>
      </c>
    </row>
    <row r="63" spans="1:13" x14ac:dyDescent="0.35">
      <c r="A63" t="s">
        <v>27</v>
      </c>
      <c r="B63" t="s">
        <v>28</v>
      </c>
      <c r="C63" t="s">
        <v>26</v>
      </c>
      <c r="D63" s="2">
        <v>3968.01</v>
      </c>
      <c r="E63">
        <v>8</v>
      </c>
      <c r="F63">
        <v>0.2</v>
      </c>
      <c r="G63" t="s">
        <v>14</v>
      </c>
      <c r="H63" t="s">
        <v>15</v>
      </c>
      <c r="I63" t="s">
        <v>16</v>
      </c>
      <c r="J63" s="2">
        <f>Table1_1[[#This Row],[Sales]]-Table1_1[[#This Row],[Sales]]*Table1_1[[#This Row],[Discount]]</f>
        <v>3174.4080000000004</v>
      </c>
      <c r="K63" s="1">
        <v>45508</v>
      </c>
      <c r="L63" s="11">
        <v>45515</v>
      </c>
      <c r="M63">
        <f>DATEDIF(Table1_1[[#This Row],[Order Date]],Table1_1[[#This Row],[Ship Date]],"D")</f>
        <v>7</v>
      </c>
    </row>
    <row r="64" spans="1:13" x14ac:dyDescent="0.35">
      <c r="A64" t="s">
        <v>205</v>
      </c>
      <c r="B64" t="s">
        <v>206</v>
      </c>
      <c r="C64" t="s">
        <v>207</v>
      </c>
      <c r="D64" s="2">
        <v>4777.16</v>
      </c>
      <c r="E64">
        <v>4</v>
      </c>
      <c r="F64">
        <v>0.3</v>
      </c>
      <c r="G64" t="s">
        <v>19</v>
      </c>
      <c r="H64" t="s">
        <v>15</v>
      </c>
      <c r="I64" t="s">
        <v>16</v>
      </c>
      <c r="J64" s="2">
        <f>Table1_1[[#This Row],[Sales]]-Table1_1[[#This Row],[Sales]]*Table1_1[[#This Row],[Discount]]</f>
        <v>3344.0119999999997</v>
      </c>
      <c r="K64" s="1">
        <v>44936</v>
      </c>
      <c r="L64" s="11">
        <v>44937</v>
      </c>
      <c r="M64">
        <f>DATEDIF(Table1_1[[#This Row],[Order Date]],Table1_1[[#This Row],[Ship Date]],"D")</f>
        <v>1</v>
      </c>
    </row>
    <row r="65" spans="1:13" x14ac:dyDescent="0.35">
      <c r="A65" t="s">
        <v>53</v>
      </c>
      <c r="B65" t="s">
        <v>54</v>
      </c>
      <c r="C65" t="s">
        <v>46</v>
      </c>
      <c r="D65" s="2">
        <v>885.43</v>
      </c>
      <c r="E65">
        <v>4</v>
      </c>
      <c r="F65">
        <v>0.2</v>
      </c>
      <c r="G65" t="s">
        <v>39</v>
      </c>
      <c r="H65" t="s">
        <v>15</v>
      </c>
      <c r="I65" t="s">
        <v>20</v>
      </c>
      <c r="J65" s="2">
        <f>Table1_1[[#This Row],[Sales]]-Table1_1[[#This Row],[Sales]]*Table1_1[[#This Row],[Discount]]</f>
        <v>708.34399999999994</v>
      </c>
      <c r="K65" s="1">
        <v>45585</v>
      </c>
      <c r="L65" s="11">
        <v>45590</v>
      </c>
      <c r="M65">
        <f>DATEDIF(Table1_1[[#This Row],[Order Date]],Table1_1[[#This Row],[Ship Date]],"D")</f>
        <v>5</v>
      </c>
    </row>
    <row r="66" spans="1:13" x14ac:dyDescent="0.35">
      <c r="A66" t="s">
        <v>17</v>
      </c>
      <c r="B66" t="s">
        <v>18</v>
      </c>
      <c r="C66" t="s">
        <v>13</v>
      </c>
      <c r="D66" s="2">
        <v>327.45</v>
      </c>
      <c r="E66">
        <v>8</v>
      </c>
      <c r="F66">
        <v>0</v>
      </c>
      <c r="G66" t="s">
        <v>19</v>
      </c>
      <c r="H66" t="s">
        <v>21</v>
      </c>
      <c r="I66" t="s">
        <v>20</v>
      </c>
      <c r="J66" s="2">
        <f>Table1_1[[#This Row],[Sales]]-Table1_1[[#This Row],[Sales]]*Table1_1[[#This Row],[Discount]]</f>
        <v>327.45</v>
      </c>
      <c r="K66" s="1">
        <v>45050</v>
      </c>
      <c r="L66" s="11">
        <v>45057</v>
      </c>
      <c r="M66">
        <f>DATEDIF(Table1_1[[#This Row],[Order Date]],Table1_1[[#This Row],[Ship Date]],"D")</f>
        <v>7</v>
      </c>
    </row>
    <row r="67" spans="1:13" x14ac:dyDescent="0.35">
      <c r="A67" t="s">
        <v>210</v>
      </c>
      <c r="B67" t="s">
        <v>18</v>
      </c>
      <c r="C67" t="s">
        <v>211</v>
      </c>
      <c r="D67" s="2">
        <v>1675.8</v>
      </c>
      <c r="E67">
        <v>2</v>
      </c>
      <c r="F67">
        <v>0.3</v>
      </c>
      <c r="G67" t="s">
        <v>39</v>
      </c>
      <c r="H67" t="s">
        <v>15</v>
      </c>
      <c r="I67" t="s">
        <v>16</v>
      </c>
      <c r="J67" s="2">
        <f>Table1_1[[#This Row],[Sales]]-Table1_1[[#This Row],[Sales]]*Table1_1[[#This Row],[Discount]]</f>
        <v>1173.06</v>
      </c>
      <c r="K67" s="1">
        <v>45668</v>
      </c>
      <c r="L67" s="11">
        <v>45674</v>
      </c>
      <c r="M67">
        <f>DATEDIF(Table1_1[[#This Row],[Order Date]],Table1_1[[#This Row],[Ship Date]],"D")</f>
        <v>6</v>
      </c>
    </row>
    <row r="68" spans="1:13" x14ac:dyDescent="0.35">
      <c r="A68" t="s">
        <v>212</v>
      </c>
      <c r="B68" t="s">
        <v>213</v>
      </c>
      <c r="C68" t="s">
        <v>214</v>
      </c>
      <c r="D68" s="2">
        <v>3999.34</v>
      </c>
      <c r="E68">
        <v>3</v>
      </c>
      <c r="F68">
        <v>0.2</v>
      </c>
      <c r="G68" t="s">
        <v>14</v>
      </c>
      <c r="H68" t="s">
        <v>21</v>
      </c>
      <c r="I68" t="s">
        <v>43</v>
      </c>
      <c r="J68" s="2">
        <f>Table1_1[[#This Row],[Sales]]-Table1_1[[#This Row],[Sales]]*Table1_1[[#This Row],[Discount]]</f>
        <v>3199.4720000000002</v>
      </c>
      <c r="K68" s="1">
        <v>45395</v>
      </c>
      <c r="L68" s="11">
        <v>45398</v>
      </c>
      <c r="M68">
        <f>DATEDIF(Table1_1[[#This Row],[Order Date]],Table1_1[[#This Row],[Ship Date]],"D")</f>
        <v>3</v>
      </c>
    </row>
    <row r="69" spans="1:13" x14ac:dyDescent="0.35">
      <c r="A69" t="s">
        <v>181</v>
      </c>
      <c r="B69" t="s">
        <v>182</v>
      </c>
      <c r="C69" t="s">
        <v>180</v>
      </c>
      <c r="D69" s="2">
        <v>1064.83</v>
      </c>
      <c r="E69">
        <v>6</v>
      </c>
      <c r="F69">
        <v>0.1</v>
      </c>
      <c r="G69" t="s">
        <v>14</v>
      </c>
      <c r="H69" t="s">
        <v>21</v>
      </c>
      <c r="I69" t="s">
        <v>20</v>
      </c>
      <c r="J69" s="2">
        <f>Table1_1[[#This Row],[Sales]]-Table1_1[[#This Row],[Sales]]*Table1_1[[#This Row],[Discount]]</f>
        <v>958.34699999999998</v>
      </c>
      <c r="K69" s="1">
        <v>44945</v>
      </c>
      <c r="L69" s="11">
        <v>44946</v>
      </c>
      <c r="M69">
        <f>DATEDIF(Table1_1[[#This Row],[Order Date]],Table1_1[[#This Row],[Ship Date]],"D")</f>
        <v>1</v>
      </c>
    </row>
    <row r="70" spans="1:13" x14ac:dyDescent="0.35">
      <c r="A70" t="s">
        <v>215</v>
      </c>
      <c r="B70" t="s">
        <v>216</v>
      </c>
      <c r="C70" t="s">
        <v>217</v>
      </c>
      <c r="D70" s="2">
        <v>3203.59</v>
      </c>
      <c r="E70">
        <v>8</v>
      </c>
      <c r="F70">
        <v>0</v>
      </c>
      <c r="G70" t="s">
        <v>14</v>
      </c>
      <c r="H70" t="s">
        <v>15</v>
      </c>
      <c r="I70" t="s">
        <v>20</v>
      </c>
      <c r="J70" s="2">
        <f>Table1_1[[#This Row],[Sales]]-Table1_1[[#This Row],[Sales]]*Table1_1[[#This Row],[Discount]]</f>
        <v>3203.59</v>
      </c>
      <c r="K70" s="1">
        <v>45291</v>
      </c>
      <c r="L70" s="11">
        <v>45296</v>
      </c>
      <c r="M70">
        <f>DATEDIF(Table1_1[[#This Row],[Order Date]],Table1_1[[#This Row],[Ship Date]],"D")</f>
        <v>5</v>
      </c>
    </row>
    <row r="71" spans="1:13" x14ac:dyDescent="0.35">
      <c r="A71" t="s">
        <v>121</v>
      </c>
      <c r="B71" t="s">
        <v>122</v>
      </c>
      <c r="C71" t="s">
        <v>118</v>
      </c>
      <c r="D71" s="2">
        <v>1220.98</v>
      </c>
      <c r="E71">
        <v>10</v>
      </c>
      <c r="F71">
        <v>0</v>
      </c>
      <c r="G71" t="s">
        <v>14</v>
      </c>
      <c r="H71" t="s">
        <v>21</v>
      </c>
      <c r="I71" t="s">
        <v>43</v>
      </c>
      <c r="J71" s="2">
        <f>Table1_1[[#This Row],[Sales]]-Table1_1[[#This Row],[Sales]]*Table1_1[[#This Row],[Discount]]</f>
        <v>1220.98</v>
      </c>
      <c r="K71" s="1">
        <v>45616</v>
      </c>
      <c r="L71" s="11">
        <v>45622</v>
      </c>
      <c r="M71">
        <f>DATEDIF(Table1_1[[#This Row],[Order Date]],Table1_1[[#This Row],[Ship Date]],"D")</f>
        <v>6</v>
      </c>
    </row>
    <row r="72" spans="1:13" x14ac:dyDescent="0.35">
      <c r="A72" t="s">
        <v>218</v>
      </c>
      <c r="B72" t="s">
        <v>219</v>
      </c>
      <c r="C72" t="s">
        <v>220</v>
      </c>
      <c r="D72" s="2">
        <v>554.27</v>
      </c>
      <c r="E72">
        <v>8</v>
      </c>
      <c r="F72">
        <v>0</v>
      </c>
      <c r="G72" t="s">
        <v>14</v>
      </c>
      <c r="H72" t="s">
        <v>21</v>
      </c>
      <c r="I72" t="s">
        <v>16</v>
      </c>
      <c r="J72" s="2">
        <f>Table1_1[[#This Row],[Sales]]-Table1_1[[#This Row],[Sales]]*Table1_1[[#This Row],[Discount]]</f>
        <v>554.27</v>
      </c>
      <c r="K72" s="1">
        <v>45672</v>
      </c>
      <c r="L72" s="11">
        <v>45677</v>
      </c>
      <c r="M72">
        <f>DATEDIF(Table1_1[[#This Row],[Order Date]],Table1_1[[#This Row],[Ship Date]],"D")</f>
        <v>5</v>
      </c>
    </row>
    <row r="73" spans="1:13" x14ac:dyDescent="0.35">
      <c r="A73" t="s">
        <v>221</v>
      </c>
      <c r="B73" t="s">
        <v>222</v>
      </c>
      <c r="C73" t="s">
        <v>223</v>
      </c>
      <c r="D73" s="2">
        <v>1979.4</v>
      </c>
      <c r="E73">
        <v>7</v>
      </c>
      <c r="F73">
        <v>0</v>
      </c>
      <c r="G73" t="s">
        <v>19</v>
      </c>
      <c r="H73" t="s">
        <v>15</v>
      </c>
      <c r="I73" t="s">
        <v>16</v>
      </c>
      <c r="J73" s="2">
        <f>Table1_1[[#This Row],[Sales]]-Table1_1[[#This Row],[Sales]]*Table1_1[[#This Row],[Discount]]</f>
        <v>1979.4</v>
      </c>
      <c r="K73" s="1">
        <v>45690</v>
      </c>
      <c r="L73" s="11">
        <v>45697</v>
      </c>
      <c r="M73">
        <f>DATEDIF(Table1_1[[#This Row],[Order Date]],Table1_1[[#This Row],[Ship Date]],"D")</f>
        <v>7</v>
      </c>
    </row>
    <row r="74" spans="1:13" x14ac:dyDescent="0.35">
      <c r="A74" t="s">
        <v>224</v>
      </c>
      <c r="B74" t="s">
        <v>225</v>
      </c>
      <c r="C74" t="s">
        <v>226</v>
      </c>
      <c r="D74" s="2">
        <v>3410.82</v>
      </c>
      <c r="E74">
        <v>2</v>
      </c>
      <c r="F74">
        <v>0.3</v>
      </c>
      <c r="G74" t="s">
        <v>19</v>
      </c>
      <c r="H74" t="s">
        <v>15</v>
      </c>
      <c r="I74" t="s">
        <v>16</v>
      </c>
      <c r="J74" s="2">
        <f>Table1_1[[#This Row],[Sales]]-Table1_1[[#This Row],[Sales]]*Table1_1[[#This Row],[Discount]]</f>
        <v>2387.5740000000001</v>
      </c>
      <c r="K74" s="1">
        <v>45068</v>
      </c>
      <c r="L74" s="11">
        <v>45074</v>
      </c>
      <c r="M74">
        <f>DATEDIF(Table1_1[[#This Row],[Order Date]],Table1_1[[#This Row],[Ship Date]],"D")</f>
        <v>6</v>
      </c>
    </row>
    <row r="75" spans="1:13" x14ac:dyDescent="0.35">
      <c r="A75" t="s">
        <v>227</v>
      </c>
      <c r="B75" t="s">
        <v>228</v>
      </c>
      <c r="C75" t="s">
        <v>229</v>
      </c>
      <c r="D75" s="2">
        <v>4457.7299999999996</v>
      </c>
      <c r="E75">
        <v>10</v>
      </c>
      <c r="F75">
        <v>0.3</v>
      </c>
      <c r="G75" t="s">
        <v>19</v>
      </c>
      <c r="H75" t="s">
        <v>15</v>
      </c>
      <c r="I75" t="s">
        <v>20</v>
      </c>
      <c r="J75" s="2">
        <f>Table1_1[[#This Row],[Sales]]-Table1_1[[#This Row],[Sales]]*Table1_1[[#This Row],[Discount]]</f>
        <v>3120.4110000000001</v>
      </c>
      <c r="K75" s="1">
        <v>45115</v>
      </c>
      <c r="L75" s="11">
        <v>45122</v>
      </c>
      <c r="M75">
        <f>DATEDIF(Table1_1[[#This Row],[Order Date]],Table1_1[[#This Row],[Ship Date]],"D")</f>
        <v>7</v>
      </c>
    </row>
    <row r="76" spans="1:13" x14ac:dyDescent="0.35">
      <c r="A76" t="s">
        <v>22</v>
      </c>
      <c r="B76" t="s">
        <v>23</v>
      </c>
      <c r="C76" t="s">
        <v>13</v>
      </c>
      <c r="D76" s="2">
        <v>1262.75</v>
      </c>
      <c r="E76">
        <v>3</v>
      </c>
      <c r="F76">
        <v>0.3</v>
      </c>
      <c r="G76" t="s">
        <v>14</v>
      </c>
      <c r="H76" t="s">
        <v>21</v>
      </c>
      <c r="I76" t="s">
        <v>20</v>
      </c>
      <c r="J76" s="2">
        <f>Table1_1[[#This Row],[Sales]]-Table1_1[[#This Row],[Sales]]*Table1_1[[#This Row],[Discount]]</f>
        <v>883.92499999999995</v>
      </c>
      <c r="K76" s="1">
        <v>45234</v>
      </c>
      <c r="L76" s="11">
        <v>45235</v>
      </c>
      <c r="M76">
        <f>DATEDIF(Table1_1[[#This Row],[Order Date]],Table1_1[[#This Row],[Ship Date]],"D")</f>
        <v>1</v>
      </c>
    </row>
    <row r="77" spans="1:13" x14ac:dyDescent="0.35">
      <c r="A77" t="s">
        <v>230</v>
      </c>
      <c r="B77" t="s">
        <v>45</v>
      </c>
      <c r="C77" t="s">
        <v>231</v>
      </c>
      <c r="D77" s="2">
        <v>2233.41</v>
      </c>
      <c r="E77">
        <v>10</v>
      </c>
      <c r="F77">
        <v>0.2</v>
      </c>
      <c r="G77" t="s">
        <v>14</v>
      </c>
      <c r="H77" t="s">
        <v>15</v>
      </c>
      <c r="I77" t="s">
        <v>20</v>
      </c>
      <c r="J77" s="2">
        <f>Table1_1[[#This Row],[Sales]]-Table1_1[[#This Row],[Sales]]*Table1_1[[#This Row],[Discount]]</f>
        <v>1786.7279999999998</v>
      </c>
      <c r="K77" s="1">
        <v>45165</v>
      </c>
      <c r="L77" s="11">
        <v>45169</v>
      </c>
      <c r="M77">
        <f>DATEDIF(Table1_1[[#This Row],[Order Date]],Table1_1[[#This Row],[Ship Date]],"D")</f>
        <v>4</v>
      </c>
    </row>
    <row r="78" spans="1:13" x14ac:dyDescent="0.35">
      <c r="A78" t="s">
        <v>232</v>
      </c>
      <c r="B78" t="s">
        <v>233</v>
      </c>
      <c r="C78" t="s">
        <v>234</v>
      </c>
      <c r="D78" s="2">
        <v>4757.3599999999997</v>
      </c>
      <c r="E78">
        <v>4</v>
      </c>
      <c r="F78">
        <v>0.2</v>
      </c>
      <c r="G78" t="s">
        <v>14</v>
      </c>
      <c r="H78" t="s">
        <v>21</v>
      </c>
      <c r="I78" t="s">
        <v>16</v>
      </c>
      <c r="J78" s="2">
        <f>Table1_1[[#This Row],[Sales]]-Table1_1[[#This Row],[Sales]]*Table1_1[[#This Row],[Discount]]</f>
        <v>3805.8879999999999</v>
      </c>
      <c r="K78" s="1">
        <v>45211</v>
      </c>
      <c r="L78" s="11">
        <v>45216</v>
      </c>
      <c r="M78">
        <f>DATEDIF(Table1_1[[#This Row],[Order Date]],Table1_1[[#This Row],[Ship Date]],"D")</f>
        <v>5</v>
      </c>
    </row>
    <row r="79" spans="1:13" x14ac:dyDescent="0.35">
      <c r="A79" t="s">
        <v>235</v>
      </c>
      <c r="B79" t="s">
        <v>236</v>
      </c>
      <c r="C79" t="s">
        <v>237</v>
      </c>
      <c r="D79" s="2">
        <v>3182</v>
      </c>
      <c r="E79">
        <v>4</v>
      </c>
      <c r="F79">
        <v>0.2</v>
      </c>
      <c r="G79" t="s">
        <v>14</v>
      </c>
      <c r="H79" t="s">
        <v>15</v>
      </c>
      <c r="I79" t="s">
        <v>20</v>
      </c>
      <c r="J79" s="2">
        <f>Table1_1[[#This Row],[Sales]]-Table1_1[[#This Row],[Sales]]*Table1_1[[#This Row],[Discount]]</f>
        <v>2545.6</v>
      </c>
      <c r="K79" s="1">
        <v>45054</v>
      </c>
      <c r="L79" s="11">
        <v>45060</v>
      </c>
      <c r="M79">
        <f>DATEDIF(Table1_1[[#This Row],[Order Date]],Table1_1[[#This Row],[Ship Date]],"D")</f>
        <v>6</v>
      </c>
    </row>
    <row r="80" spans="1:13" x14ac:dyDescent="0.35">
      <c r="A80" t="s">
        <v>132</v>
      </c>
      <c r="B80" t="s">
        <v>120</v>
      </c>
      <c r="C80" t="s">
        <v>128</v>
      </c>
      <c r="D80" s="2">
        <v>1083.58</v>
      </c>
      <c r="E80">
        <v>9</v>
      </c>
      <c r="F80">
        <v>0</v>
      </c>
      <c r="G80" t="s">
        <v>14</v>
      </c>
      <c r="H80" t="s">
        <v>15</v>
      </c>
      <c r="I80" t="s">
        <v>20</v>
      </c>
      <c r="J80" s="2">
        <f>Table1_1[[#This Row],[Sales]]-Table1_1[[#This Row],[Sales]]*Table1_1[[#This Row],[Discount]]</f>
        <v>1083.58</v>
      </c>
      <c r="K80" s="1">
        <v>45711</v>
      </c>
      <c r="L80" s="11">
        <v>45712</v>
      </c>
      <c r="M80">
        <f>DATEDIF(Table1_1[[#This Row],[Order Date]],Table1_1[[#This Row],[Ship Date]],"D")</f>
        <v>1</v>
      </c>
    </row>
    <row r="81" spans="1:13" x14ac:dyDescent="0.35">
      <c r="A81" t="s">
        <v>198</v>
      </c>
      <c r="B81" t="s">
        <v>199</v>
      </c>
      <c r="C81" t="s">
        <v>197</v>
      </c>
      <c r="D81" s="2">
        <v>1675.66</v>
      </c>
      <c r="E81">
        <v>9</v>
      </c>
      <c r="F81">
        <v>0</v>
      </c>
      <c r="G81" t="s">
        <v>39</v>
      </c>
      <c r="H81" t="s">
        <v>15</v>
      </c>
      <c r="I81" t="s">
        <v>20</v>
      </c>
      <c r="J81" s="2">
        <f>Table1_1[[#This Row],[Sales]]-Table1_1[[#This Row],[Sales]]*Table1_1[[#This Row],[Discount]]</f>
        <v>1675.66</v>
      </c>
      <c r="K81" s="1">
        <v>45050</v>
      </c>
      <c r="L81" s="11">
        <v>45055</v>
      </c>
      <c r="M81">
        <f>DATEDIF(Table1_1[[#This Row],[Order Date]],Table1_1[[#This Row],[Ship Date]],"D")</f>
        <v>5</v>
      </c>
    </row>
    <row r="82" spans="1:13" x14ac:dyDescent="0.35">
      <c r="A82" t="s">
        <v>238</v>
      </c>
      <c r="B82" t="s">
        <v>239</v>
      </c>
      <c r="C82" t="s">
        <v>240</v>
      </c>
      <c r="D82" s="2">
        <v>961.57</v>
      </c>
      <c r="E82">
        <v>1</v>
      </c>
      <c r="F82">
        <v>0</v>
      </c>
      <c r="G82" t="s">
        <v>14</v>
      </c>
      <c r="H82" t="s">
        <v>21</v>
      </c>
      <c r="I82" t="s">
        <v>16</v>
      </c>
      <c r="J82" s="2">
        <f>Table1_1[[#This Row],[Sales]]-Table1_1[[#This Row],[Sales]]*Table1_1[[#This Row],[Discount]]</f>
        <v>961.57</v>
      </c>
      <c r="K82" s="1">
        <v>45402</v>
      </c>
      <c r="L82" s="11">
        <v>45407</v>
      </c>
      <c r="M82">
        <f>DATEDIF(Table1_1[[#This Row],[Order Date]],Table1_1[[#This Row],[Ship Date]],"D")</f>
        <v>5</v>
      </c>
    </row>
    <row r="83" spans="1:13" x14ac:dyDescent="0.35">
      <c r="A83" t="s">
        <v>172</v>
      </c>
      <c r="B83" t="s">
        <v>173</v>
      </c>
      <c r="C83" t="s">
        <v>169</v>
      </c>
      <c r="D83" s="2">
        <v>3867.48</v>
      </c>
      <c r="E83">
        <v>5</v>
      </c>
      <c r="F83">
        <v>0</v>
      </c>
      <c r="G83" t="s">
        <v>19</v>
      </c>
      <c r="H83" t="s">
        <v>21</v>
      </c>
      <c r="I83" t="s">
        <v>20</v>
      </c>
      <c r="J83" s="2">
        <f>Table1_1[[#This Row],[Sales]]-Table1_1[[#This Row],[Sales]]*Table1_1[[#This Row],[Discount]]</f>
        <v>3867.48</v>
      </c>
      <c r="K83" s="1">
        <v>45056</v>
      </c>
      <c r="L83" s="11">
        <v>45062</v>
      </c>
      <c r="M83">
        <f>DATEDIF(Table1_1[[#This Row],[Order Date]],Table1_1[[#This Row],[Ship Date]],"D")</f>
        <v>6</v>
      </c>
    </row>
    <row r="84" spans="1:13" x14ac:dyDescent="0.35">
      <c r="A84" t="s">
        <v>85</v>
      </c>
      <c r="B84" t="s">
        <v>86</v>
      </c>
      <c r="C84" t="s">
        <v>82</v>
      </c>
      <c r="D84" s="2">
        <v>2977.7</v>
      </c>
      <c r="E84">
        <v>6</v>
      </c>
      <c r="F84">
        <v>0</v>
      </c>
      <c r="G84" t="s">
        <v>14</v>
      </c>
      <c r="H84" t="s">
        <v>15</v>
      </c>
      <c r="I84" t="s">
        <v>43</v>
      </c>
      <c r="J84" s="2">
        <f>Table1_1[[#This Row],[Sales]]-Table1_1[[#This Row],[Sales]]*Table1_1[[#This Row],[Discount]]</f>
        <v>2977.7</v>
      </c>
      <c r="K84" s="1">
        <v>45631</v>
      </c>
      <c r="L84" s="11">
        <v>45633</v>
      </c>
      <c r="M84">
        <f>DATEDIF(Table1_1[[#This Row],[Order Date]],Table1_1[[#This Row],[Ship Date]],"D")</f>
        <v>2</v>
      </c>
    </row>
    <row r="85" spans="1:13" x14ac:dyDescent="0.35">
      <c r="A85" t="s">
        <v>153</v>
      </c>
      <c r="B85" t="s">
        <v>154</v>
      </c>
      <c r="C85" t="s">
        <v>152</v>
      </c>
      <c r="D85" s="2">
        <v>1458.19</v>
      </c>
      <c r="E85">
        <v>5</v>
      </c>
      <c r="F85">
        <v>0.3</v>
      </c>
      <c r="G85" t="s">
        <v>19</v>
      </c>
      <c r="H85" t="s">
        <v>15</v>
      </c>
      <c r="I85" t="s">
        <v>20</v>
      </c>
      <c r="J85" s="2">
        <f>Table1_1[[#This Row],[Sales]]-Table1_1[[#This Row],[Sales]]*Table1_1[[#This Row],[Discount]]</f>
        <v>1020.7330000000001</v>
      </c>
      <c r="K85" s="1">
        <v>45602</v>
      </c>
      <c r="L85" s="11">
        <v>45603</v>
      </c>
      <c r="M85">
        <f>DATEDIF(Table1_1[[#This Row],[Order Date]],Table1_1[[#This Row],[Ship Date]],"D")</f>
        <v>1</v>
      </c>
    </row>
    <row r="86" spans="1:13" x14ac:dyDescent="0.35">
      <c r="A86" t="s">
        <v>149</v>
      </c>
      <c r="B86" t="s">
        <v>48</v>
      </c>
      <c r="C86" t="s">
        <v>148</v>
      </c>
      <c r="D86" s="2">
        <v>4159.97</v>
      </c>
      <c r="E86">
        <v>8</v>
      </c>
      <c r="F86">
        <v>0</v>
      </c>
      <c r="G86" t="s">
        <v>14</v>
      </c>
      <c r="H86" t="s">
        <v>21</v>
      </c>
      <c r="I86" t="s">
        <v>16</v>
      </c>
      <c r="J86" s="2">
        <f>Table1_1[[#This Row],[Sales]]-Table1_1[[#This Row],[Sales]]*Table1_1[[#This Row],[Discount]]</f>
        <v>4159.97</v>
      </c>
      <c r="K86" s="1">
        <v>45443</v>
      </c>
      <c r="L86" s="11">
        <v>45445</v>
      </c>
      <c r="M86">
        <f>DATEDIF(Table1_1[[#This Row],[Order Date]],Table1_1[[#This Row],[Ship Date]],"D")</f>
        <v>2</v>
      </c>
    </row>
    <row r="87" spans="1:13" x14ac:dyDescent="0.35">
      <c r="A87" t="s">
        <v>191</v>
      </c>
      <c r="B87" t="s">
        <v>156</v>
      </c>
      <c r="C87" t="s">
        <v>190</v>
      </c>
      <c r="D87" s="2">
        <v>1301.79</v>
      </c>
      <c r="E87">
        <v>6</v>
      </c>
      <c r="F87">
        <v>0.2</v>
      </c>
      <c r="G87" t="s">
        <v>19</v>
      </c>
      <c r="H87" t="s">
        <v>21</v>
      </c>
      <c r="I87" t="s">
        <v>16</v>
      </c>
      <c r="J87" s="2">
        <f>Table1_1[[#This Row],[Sales]]-Table1_1[[#This Row],[Sales]]*Table1_1[[#This Row],[Discount]]</f>
        <v>1041.432</v>
      </c>
      <c r="K87" s="1">
        <v>45794</v>
      </c>
      <c r="L87" s="11">
        <v>45799</v>
      </c>
      <c r="M87">
        <f>DATEDIF(Table1_1[[#This Row],[Order Date]],Table1_1[[#This Row],[Ship Date]],"D")</f>
        <v>5</v>
      </c>
    </row>
    <row r="88" spans="1:13" x14ac:dyDescent="0.35">
      <c r="A88" t="s">
        <v>241</v>
      </c>
      <c r="B88" t="s">
        <v>242</v>
      </c>
      <c r="C88" t="s">
        <v>243</v>
      </c>
      <c r="D88" s="2">
        <v>4994.6899999999996</v>
      </c>
      <c r="E88">
        <v>7</v>
      </c>
      <c r="F88">
        <v>0.1</v>
      </c>
      <c r="G88" t="s">
        <v>19</v>
      </c>
      <c r="H88" t="s">
        <v>21</v>
      </c>
      <c r="I88" t="s">
        <v>16</v>
      </c>
      <c r="J88" s="2">
        <f>Table1_1[[#This Row],[Sales]]-Table1_1[[#This Row],[Sales]]*Table1_1[[#This Row],[Discount]]</f>
        <v>4495.2209999999995</v>
      </c>
      <c r="K88" s="1">
        <v>45510</v>
      </c>
      <c r="L88" s="11">
        <v>45511</v>
      </c>
      <c r="M88">
        <f>DATEDIF(Table1_1[[#This Row],[Order Date]],Table1_1[[#This Row],[Ship Date]],"D")</f>
        <v>1</v>
      </c>
    </row>
    <row r="89" spans="1:13" x14ac:dyDescent="0.35">
      <c r="A89" t="s">
        <v>244</v>
      </c>
      <c r="B89" t="s">
        <v>245</v>
      </c>
      <c r="C89" t="s">
        <v>246</v>
      </c>
      <c r="D89" s="2">
        <v>974.17</v>
      </c>
      <c r="E89">
        <v>2</v>
      </c>
      <c r="F89">
        <v>0</v>
      </c>
      <c r="G89" t="s">
        <v>14</v>
      </c>
      <c r="H89" t="s">
        <v>15</v>
      </c>
      <c r="I89" t="s">
        <v>20</v>
      </c>
      <c r="J89" s="2">
        <f>Table1_1[[#This Row],[Sales]]-Table1_1[[#This Row],[Sales]]*Table1_1[[#This Row],[Discount]]</f>
        <v>974.17</v>
      </c>
      <c r="K89" s="1">
        <v>44927</v>
      </c>
      <c r="L89" s="11">
        <v>44928</v>
      </c>
      <c r="M89">
        <f>DATEDIF(Table1_1[[#This Row],[Order Date]],Table1_1[[#This Row],[Ship Date]],"D")</f>
        <v>1</v>
      </c>
    </row>
    <row r="90" spans="1:13" x14ac:dyDescent="0.35">
      <c r="A90" t="s">
        <v>247</v>
      </c>
      <c r="B90" t="s">
        <v>248</v>
      </c>
      <c r="C90" t="s">
        <v>246</v>
      </c>
      <c r="D90" s="2">
        <v>3326.53</v>
      </c>
      <c r="E90">
        <v>4</v>
      </c>
      <c r="F90">
        <v>0.2</v>
      </c>
      <c r="G90" t="s">
        <v>19</v>
      </c>
      <c r="H90" t="s">
        <v>15</v>
      </c>
      <c r="I90" t="s">
        <v>16</v>
      </c>
      <c r="J90" s="2">
        <f>Table1_1[[#This Row],[Sales]]-Table1_1[[#This Row],[Sales]]*Table1_1[[#This Row],[Discount]]</f>
        <v>2661.2240000000002</v>
      </c>
      <c r="K90" s="1">
        <v>45478</v>
      </c>
      <c r="L90" s="11">
        <v>45485</v>
      </c>
      <c r="M90">
        <f>DATEDIF(Table1_1[[#This Row],[Order Date]],Table1_1[[#This Row],[Ship Date]],"D")</f>
        <v>7</v>
      </c>
    </row>
    <row r="91" spans="1:13" x14ac:dyDescent="0.35">
      <c r="A91" t="s">
        <v>200</v>
      </c>
      <c r="B91" t="s">
        <v>201</v>
      </c>
      <c r="C91" t="s">
        <v>197</v>
      </c>
      <c r="D91" s="2">
        <v>1117.6500000000001</v>
      </c>
      <c r="E91">
        <v>7</v>
      </c>
      <c r="F91">
        <v>0.3</v>
      </c>
      <c r="G91" t="s">
        <v>14</v>
      </c>
      <c r="H91" t="s">
        <v>15</v>
      </c>
      <c r="I91" t="s">
        <v>16</v>
      </c>
      <c r="J91" s="2">
        <f>Table1_1[[#This Row],[Sales]]-Table1_1[[#This Row],[Sales]]*Table1_1[[#This Row],[Discount]]</f>
        <v>782.35500000000002</v>
      </c>
      <c r="K91" s="1">
        <v>45791</v>
      </c>
      <c r="L91" s="11">
        <v>45798</v>
      </c>
      <c r="M91">
        <f>DATEDIF(Table1_1[[#This Row],[Order Date]],Table1_1[[#This Row],[Ship Date]],"D")</f>
        <v>7</v>
      </c>
    </row>
    <row r="92" spans="1:13" x14ac:dyDescent="0.35">
      <c r="A92" t="s">
        <v>249</v>
      </c>
      <c r="B92" t="s">
        <v>250</v>
      </c>
      <c r="C92" t="s">
        <v>251</v>
      </c>
      <c r="D92" s="2">
        <v>3090.88</v>
      </c>
      <c r="E92">
        <v>2</v>
      </c>
      <c r="F92">
        <v>0.1</v>
      </c>
      <c r="G92" t="s">
        <v>14</v>
      </c>
      <c r="H92" t="s">
        <v>21</v>
      </c>
      <c r="I92" t="s">
        <v>16</v>
      </c>
      <c r="J92" s="2">
        <f>Table1_1[[#This Row],[Sales]]-Table1_1[[#This Row],[Sales]]*Table1_1[[#This Row],[Discount]]</f>
        <v>2781.7919999999999</v>
      </c>
      <c r="K92" s="1">
        <v>45571</v>
      </c>
      <c r="L92" s="11">
        <v>45575</v>
      </c>
      <c r="M92">
        <f>DATEDIF(Table1_1[[#This Row],[Order Date]],Table1_1[[#This Row],[Ship Date]],"D")</f>
        <v>4</v>
      </c>
    </row>
    <row r="93" spans="1:13" x14ac:dyDescent="0.35">
      <c r="A93" t="s">
        <v>208</v>
      </c>
      <c r="B93" t="s">
        <v>209</v>
      </c>
      <c r="C93" t="s">
        <v>207</v>
      </c>
      <c r="D93" s="2">
        <v>1761.83</v>
      </c>
      <c r="E93">
        <v>1</v>
      </c>
      <c r="F93">
        <v>0.3</v>
      </c>
      <c r="G93" t="s">
        <v>19</v>
      </c>
      <c r="H93" t="s">
        <v>21</v>
      </c>
      <c r="I93" t="s">
        <v>16</v>
      </c>
      <c r="J93" s="2">
        <f>Table1_1[[#This Row],[Sales]]-Table1_1[[#This Row],[Sales]]*Table1_1[[#This Row],[Discount]]</f>
        <v>1233.2809999999999</v>
      </c>
      <c r="K93" s="1">
        <v>45028</v>
      </c>
      <c r="L93" s="11">
        <v>45033</v>
      </c>
      <c r="M93">
        <f>DATEDIF(Table1_1[[#This Row],[Order Date]],Table1_1[[#This Row],[Ship Date]],"D")</f>
        <v>5</v>
      </c>
    </row>
    <row r="94" spans="1:13" x14ac:dyDescent="0.35">
      <c r="A94" t="s">
        <v>252</v>
      </c>
      <c r="B94" t="s">
        <v>253</v>
      </c>
      <c r="C94" t="s">
        <v>254</v>
      </c>
      <c r="D94" s="2">
        <v>1473.05</v>
      </c>
      <c r="E94">
        <v>7</v>
      </c>
      <c r="F94">
        <v>0</v>
      </c>
      <c r="G94" t="s">
        <v>14</v>
      </c>
      <c r="H94" t="s">
        <v>15</v>
      </c>
      <c r="I94" t="s">
        <v>43</v>
      </c>
      <c r="J94" s="2">
        <f>Table1_1[[#This Row],[Sales]]-Table1_1[[#This Row],[Sales]]*Table1_1[[#This Row],[Discount]]</f>
        <v>1473.05</v>
      </c>
      <c r="K94" s="1">
        <v>45723</v>
      </c>
      <c r="L94" s="11">
        <v>45724</v>
      </c>
      <c r="M94">
        <f>DATEDIF(Table1_1[[#This Row],[Order Date]],Table1_1[[#This Row],[Ship Date]],"D")</f>
        <v>1</v>
      </c>
    </row>
    <row r="95" spans="1:13" x14ac:dyDescent="0.35">
      <c r="A95" t="s">
        <v>257</v>
      </c>
      <c r="B95" t="s">
        <v>258</v>
      </c>
      <c r="C95" t="s">
        <v>259</v>
      </c>
      <c r="D95" s="2">
        <v>2888.93</v>
      </c>
      <c r="E95">
        <v>7</v>
      </c>
      <c r="F95">
        <v>0</v>
      </c>
      <c r="G95" t="s">
        <v>14</v>
      </c>
      <c r="H95" t="s">
        <v>15</v>
      </c>
      <c r="I95" t="s">
        <v>20</v>
      </c>
      <c r="J95" s="2">
        <f>Table1_1[[#This Row],[Sales]]-Table1_1[[#This Row],[Sales]]*Table1_1[[#This Row],[Discount]]</f>
        <v>2888.93</v>
      </c>
      <c r="K95" s="1">
        <v>45653</v>
      </c>
      <c r="L95" s="11">
        <v>45657</v>
      </c>
      <c r="M95">
        <f>DATEDIF(Table1_1[[#This Row],[Order Date]],Table1_1[[#This Row],[Ship Date]],"D")</f>
        <v>4</v>
      </c>
    </row>
    <row r="96" spans="1:13" x14ac:dyDescent="0.35">
      <c r="A96" t="s">
        <v>260</v>
      </c>
      <c r="B96" t="s">
        <v>261</v>
      </c>
      <c r="C96" t="s">
        <v>262</v>
      </c>
      <c r="D96" s="2">
        <v>3614.54</v>
      </c>
      <c r="E96">
        <v>1</v>
      </c>
      <c r="F96">
        <v>0.2</v>
      </c>
      <c r="G96" t="s">
        <v>39</v>
      </c>
      <c r="H96" t="s">
        <v>15</v>
      </c>
      <c r="I96" t="s">
        <v>20</v>
      </c>
      <c r="J96" s="2">
        <f>Table1_1[[#This Row],[Sales]]-Table1_1[[#This Row],[Sales]]*Table1_1[[#This Row],[Discount]]</f>
        <v>2891.6320000000001</v>
      </c>
      <c r="K96" s="1">
        <v>45717</v>
      </c>
      <c r="L96" s="11">
        <v>45723</v>
      </c>
      <c r="M96">
        <f>DATEDIF(Table1_1[[#This Row],[Order Date]],Table1_1[[#This Row],[Ship Date]],"D")</f>
        <v>6</v>
      </c>
    </row>
    <row r="97" spans="1:13" x14ac:dyDescent="0.35">
      <c r="A97" t="s">
        <v>186</v>
      </c>
      <c r="B97" t="s">
        <v>187</v>
      </c>
      <c r="C97" t="s">
        <v>185</v>
      </c>
      <c r="D97" s="2">
        <v>4875.8900000000003</v>
      </c>
      <c r="E97">
        <v>5</v>
      </c>
      <c r="F97">
        <v>0.1</v>
      </c>
      <c r="G97" t="s">
        <v>14</v>
      </c>
      <c r="H97" t="s">
        <v>15</v>
      </c>
      <c r="I97" t="s">
        <v>16</v>
      </c>
      <c r="J97" s="2">
        <f>Table1_1[[#This Row],[Sales]]-Table1_1[[#This Row],[Sales]]*Table1_1[[#This Row],[Discount]]</f>
        <v>4388.3010000000004</v>
      </c>
      <c r="K97" s="1">
        <v>44955</v>
      </c>
      <c r="L97" s="11">
        <v>44961</v>
      </c>
      <c r="M97">
        <f>DATEDIF(Table1_1[[#This Row],[Order Date]],Table1_1[[#This Row],[Ship Date]],"D")</f>
        <v>6</v>
      </c>
    </row>
    <row r="98" spans="1:13" x14ac:dyDescent="0.35">
      <c r="A98" t="s">
        <v>139</v>
      </c>
      <c r="B98" t="s">
        <v>140</v>
      </c>
      <c r="C98" t="s">
        <v>135</v>
      </c>
      <c r="D98" s="2">
        <v>1134.1199999999999</v>
      </c>
      <c r="E98">
        <v>9</v>
      </c>
      <c r="F98">
        <v>0.1</v>
      </c>
      <c r="G98" t="s">
        <v>14</v>
      </c>
      <c r="H98" t="s">
        <v>15</v>
      </c>
      <c r="I98" t="s">
        <v>20</v>
      </c>
      <c r="J98" s="2">
        <f>Table1_1[[#This Row],[Sales]]-Table1_1[[#This Row],[Sales]]*Table1_1[[#This Row],[Discount]]</f>
        <v>1020.7079999999999</v>
      </c>
      <c r="K98" s="1">
        <v>45664</v>
      </c>
      <c r="L98" s="11">
        <v>45666</v>
      </c>
      <c r="M98">
        <f>DATEDIF(Table1_1[[#This Row],[Order Date]],Table1_1[[#This Row],[Ship Date]],"D")</f>
        <v>2</v>
      </c>
    </row>
    <row r="99" spans="1:13" x14ac:dyDescent="0.35">
      <c r="A99" t="s">
        <v>263</v>
      </c>
      <c r="B99" t="s">
        <v>264</v>
      </c>
      <c r="C99" t="s">
        <v>265</v>
      </c>
      <c r="D99" s="2">
        <v>1993.96</v>
      </c>
      <c r="E99">
        <v>1</v>
      </c>
      <c r="F99">
        <v>0</v>
      </c>
      <c r="G99" t="s">
        <v>14</v>
      </c>
      <c r="H99" t="s">
        <v>15</v>
      </c>
      <c r="I99" t="s">
        <v>43</v>
      </c>
      <c r="J99" s="2">
        <f>Table1_1[[#This Row],[Sales]]-Table1_1[[#This Row],[Sales]]*Table1_1[[#This Row],[Discount]]</f>
        <v>1993.96</v>
      </c>
      <c r="K99" s="1">
        <v>45769</v>
      </c>
      <c r="L99" s="11">
        <v>45771</v>
      </c>
      <c r="M99">
        <f>DATEDIF(Table1_1[[#This Row],[Order Date]],Table1_1[[#This Row],[Ship Date]],"D")</f>
        <v>2</v>
      </c>
    </row>
    <row r="100" spans="1:13" x14ac:dyDescent="0.35">
      <c r="A100" t="s">
        <v>267</v>
      </c>
      <c r="B100" t="s">
        <v>38</v>
      </c>
      <c r="C100" t="s">
        <v>268</v>
      </c>
      <c r="D100" s="2">
        <v>742.87</v>
      </c>
      <c r="E100">
        <v>10</v>
      </c>
      <c r="F100">
        <v>0</v>
      </c>
      <c r="G100" t="s">
        <v>19</v>
      </c>
      <c r="H100" t="s">
        <v>15</v>
      </c>
      <c r="I100" t="s">
        <v>20</v>
      </c>
      <c r="J100" s="2">
        <f>Table1_1[[#This Row],[Sales]]-Table1_1[[#This Row],[Sales]]*Table1_1[[#This Row],[Discount]]</f>
        <v>742.87</v>
      </c>
      <c r="K100" s="1">
        <v>45566</v>
      </c>
      <c r="L100" s="11">
        <v>45567</v>
      </c>
      <c r="M100">
        <f>DATEDIF(Table1_1[[#This Row],[Order Date]],Table1_1[[#This Row],[Ship Date]],"D")</f>
        <v>1</v>
      </c>
    </row>
    <row r="101" spans="1:13" x14ac:dyDescent="0.35">
      <c r="A101" t="s">
        <v>255</v>
      </c>
      <c r="B101" t="s">
        <v>256</v>
      </c>
      <c r="C101" t="s">
        <v>254</v>
      </c>
      <c r="D101" s="2">
        <v>3379.63</v>
      </c>
      <c r="E101">
        <v>8</v>
      </c>
      <c r="F101">
        <v>0.2</v>
      </c>
      <c r="G101" t="s">
        <v>19</v>
      </c>
      <c r="H101" t="s">
        <v>21</v>
      </c>
      <c r="I101" t="s">
        <v>20</v>
      </c>
      <c r="J101" s="2">
        <f>Table1_1[[#This Row],[Sales]]-Table1_1[[#This Row],[Sales]]*Table1_1[[#This Row],[Discount]]</f>
        <v>2703.7040000000002</v>
      </c>
      <c r="K101" s="1">
        <v>45259</v>
      </c>
      <c r="L101" s="11">
        <v>45265</v>
      </c>
      <c r="M101">
        <f>DATEDIF(Table1_1[[#This Row],[Order Date]],Table1_1[[#This Row],[Ship Date]],"D")</f>
        <v>6</v>
      </c>
    </row>
    <row r="102" spans="1:13" x14ac:dyDescent="0.35">
      <c r="A102" t="s">
        <v>266</v>
      </c>
      <c r="B102" t="s">
        <v>184</v>
      </c>
      <c r="C102" t="s">
        <v>265</v>
      </c>
      <c r="D102" s="2">
        <v>4393.99</v>
      </c>
      <c r="E102">
        <v>4</v>
      </c>
      <c r="F102">
        <v>0.1</v>
      </c>
      <c r="G102" t="s">
        <v>19</v>
      </c>
      <c r="H102" t="s">
        <v>15</v>
      </c>
      <c r="I102" t="s">
        <v>20</v>
      </c>
      <c r="J102" s="2">
        <f>Table1_1[[#This Row],[Sales]]-Table1_1[[#This Row],[Sales]]*Table1_1[[#This Row],[Discount]]</f>
        <v>3954.5909999999999</v>
      </c>
      <c r="K102" s="1">
        <v>45090</v>
      </c>
      <c r="L102" s="11">
        <v>45097</v>
      </c>
      <c r="M102">
        <f>DATEDIF(Table1_1[[#This Row],[Order Date]],Table1_1[[#This Row],[Ship Date]],"D")</f>
        <v>7</v>
      </c>
    </row>
    <row r="103" spans="1:13" x14ac:dyDescent="0.35">
      <c r="A103" t="s">
        <v>269</v>
      </c>
      <c r="B103" t="s">
        <v>270</v>
      </c>
      <c r="C103" t="s">
        <v>105</v>
      </c>
      <c r="D103" s="2">
        <v>741.45</v>
      </c>
      <c r="E103">
        <v>9</v>
      </c>
      <c r="F103">
        <v>0.2</v>
      </c>
      <c r="G103" t="s">
        <v>19</v>
      </c>
      <c r="H103" t="s">
        <v>21</v>
      </c>
      <c r="I103" t="s">
        <v>20</v>
      </c>
      <c r="J103" s="2">
        <f>Table1_1[[#This Row],[Sales]]-Table1_1[[#This Row],[Sales]]*Table1_1[[#This Row],[Discount]]</f>
        <v>593.16000000000008</v>
      </c>
      <c r="K103" s="1">
        <v>45328</v>
      </c>
      <c r="L103" s="11">
        <v>45333</v>
      </c>
      <c r="M103">
        <f>DATEDIF(Table1_1[[#This Row],[Order Date]],Table1_1[[#This Row],[Ship Date]],"D")</f>
        <v>5</v>
      </c>
    </row>
    <row r="104" spans="1:13" x14ac:dyDescent="0.35">
      <c r="A104" t="s">
        <v>271</v>
      </c>
      <c r="B104" t="s">
        <v>272</v>
      </c>
      <c r="C104" t="s">
        <v>273</v>
      </c>
      <c r="D104" s="2">
        <v>3204.27</v>
      </c>
      <c r="E104">
        <v>6</v>
      </c>
      <c r="F104">
        <v>0</v>
      </c>
      <c r="G104" t="s">
        <v>19</v>
      </c>
      <c r="H104" t="s">
        <v>21</v>
      </c>
      <c r="I104" t="s">
        <v>20</v>
      </c>
      <c r="J104" s="2">
        <f>Table1_1[[#This Row],[Sales]]-Table1_1[[#This Row],[Sales]]*Table1_1[[#This Row],[Discount]]</f>
        <v>3204.27</v>
      </c>
      <c r="K104" s="1">
        <v>45206</v>
      </c>
      <c r="L104" s="11">
        <v>45208</v>
      </c>
      <c r="M104">
        <f>DATEDIF(Table1_1[[#This Row],[Order Date]],Table1_1[[#This Row],[Ship Date]],"D")</f>
        <v>2</v>
      </c>
    </row>
    <row r="105" spans="1:13" x14ac:dyDescent="0.35">
      <c r="A105" t="s">
        <v>274</v>
      </c>
      <c r="B105" t="s">
        <v>275</v>
      </c>
      <c r="C105" t="s">
        <v>82</v>
      </c>
      <c r="D105" s="2">
        <v>4417.46</v>
      </c>
      <c r="E105">
        <v>8</v>
      </c>
      <c r="F105">
        <v>0.2</v>
      </c>
      <c r="G105" t="s">
        <v>19</v>
      </c>
      <c r="H105" t="s">
        <v>21</v>
      </c>
      <c r="I105" t="s">
        <v>20</v>
      </c>
      <c r="J105" s="2">
        <f>Table1_1[[#This Row],[Sales]]-Table1_1[[#This Row],[Sales]]*Table1_1[[#This Row],[Discount]]</f>
        <v>3533.9679999999998</v>
      </c>
      <c r="K105" s="1">
        <v>45511</v>
      </c>
      <c r="L105" s="11">
        <v>45517</v>
      </c>
      <c r="M105">
        <f>DATEDIF(Table1_1[[#This Row],[Order Date]],Table1_1[[#This Row],[Ship Date]],"D")</f>
        <v>6</v>
      </c>
    </row>
    <row r="106" spans="1:13" x14ac:dyDescent="0.35">
      <c r="A106" t="s">
        <v>276</v>
      </c>
      <c r="B106" t="s">
        <v>277</v>
      </c>
      <c r="C106" t="s">
        <v>278</v>
      </c>
      <c r="D106" s="2">
        <v>3539.78</v>
      </c>
      <c r="E106">
        <v>5</v>
      </c>
      <c r="F106">
        <v>0.2</v>
      </c>
      <c r="G106" t="s">
        <v>14</v>
      </c>
      <c r="H106" t="s">
        <v>15</v>
      </c>
      <c r="I106" t="s">
        <v>16</v>
      </c>
      <c r="J106" s="2">
        <f>Table1_1[[#This Row],[Sales]]-Table1_1[[#This Row],[Sales]]*Table1_1[[#This Row],[Discount]]</f>
        <v>2831.8240000000001</v>
      </c>
      <c r="K106" s="1">
        <v>45453</v>
      </c>
      <c r="L106" s="11">
        <v>45457</v>
      </c>
      <c r="M106">
        <f>DATEDIF(Table1_1[[#This Row],[Order Date]],Table1_1[[#This Row],[Ship Date]],"D")</f>
        <v>4</v>
      </c>
    </row>
    <row r="107" spans="1:13" x14ac:dyDescent="0.35">
      <c r="A107" t="s">
        <v>279</v>
      </c>
      <c r="B107" t="s">
        <v>280</v>
      </c>
      <c r="C107" t="s">
        <v>281</v>
      </c>
      <c r="D107" s="2">
        <v>4554.78</v>
      </c>
      <c r="E107">
        <v>7</v>
      </c>
      <c r="F107">
        <v>0.1</v>
      </c>
      <c r="G107" t="s">
        <v>14</v>
      </c>
      <c r="H107" t="s">
        <v>21</v>
      </c>
      <c r="I107" t="s">
        <v>43</v>
      </c>
      <c r="J107" s="2">
        <f>Table1_1[[#This Row],[Sales]]-Table1_1[[#This Row],[Sales]]*Table1_1[[#This Row],[Discount]]</f>
        <v>4099.3019999999997</v>
      </c>
      <c r="K107" s="1">
        <v>45229</v>
      </c>
      <c r="L107" s="11">
        <v>45235</v>
      </c>
      <c r="M107">
        <f>DATEDIF(Table1_1[[#This Row],[Order Date]],Table1_1[[#This Row],[Ship Date]],"D")</f>
        <v>6</v>
      </c>
    </row>
    <row r="108" spans="1:13" x14ac:dyDescent="0.35">
      <c r="A108" t="s">
        <v>282</v>
      </c>
      <c r="B108" t="s">
        <v>120</v>
      </c>
      <c r="C108" t="s">
        <v>251</v>
      </c>
      <c r="D108" s="2">
        <v>4285.18</v>
      </c>
      <c r="E108">
        <v>2</v>
      </c>
      <c r="F108">
        <v>0</v>
      </c>
      <c r="G108" t="s">
        <v>14</v>
      </c>
      <c r="H108" t="s">
        <v>15</v>
      </c>
      <c r="I108" t="s">
        <v>20</v>
      </c>
      <c r="J108" s="2">
        <f>Table1_1[[#This Row],[Sales]]-Table1_1[[#This Row],[Sales]]*Table1_1[[#This Row],[Discount]]</f>
        <v>4285.18</v>
      </c>
      <c r="K108" s="1">
        <v>45210</v>
      </c>
      <c r="L108" s="11">
        <v>45212</v>
      </c>
      <c r="M108">
        <f>DATEDIF(Table1_1[[#This Row],[Order Date]],Table1_1[[#This Row],[Ship Date]],"D")</f>
        <v>2</v>
      </c>
    </row>
    <row r="109" spans="1:13" x14ac:dyDescent="0.35">
      <c r="A109" t="s">
        <v>283</v>
      </c>
      <c r="B109" t="s">
        <v>284</v>
      </c>
      <c r="C109" t="s">
        <v>285</v>
      </c>
      <c r="D109" s="2">
        <v>1523.75</v>
      </c>
      <c r="E109">
        <v>10</v>
      </c>
      <c r="F109">
        <v>0.3</v>
      </c>
      <c r="G109" t="s">
        <v>14</v>
      </c>
      <c r="H109" t="s">
        <v>21</v>
      </c>
      <c r="I109" t="s">
        <v>20</v>
      </c>
      <c r="J109" s="2">
        <f>Table1_1[[#This Row],[Sales]]-Table1_1[[#This Row],[Sales]]*Table1_1[[#This Row],[Discount]]</f>
        <v>1066.625</v>
      </c>
      <c r="K109" s="1">
        <v>45775</v>
      </c>
      <c r="L109" s="11">
        <v>45780</v>
      </c>
      <c r="M109">
        <f>DATEDIF(Table1_1[[#This Row],[Order Date]],Table1_1[[#This Row],[Ship Date]],"D")</f>
        <v>5</v>
      </c>
    </row>
    <row r="110" spans="1:13" x14ac:dyDescent="0.35">
      <c r="A110" t="s">
        <v>286</v>
      </c>
      <c r="B110" t="s">
        <v>145</v>
      </c>
      <c r="C110" t="s">
        <v>128</v>
      </c>
      <c r="D110" s="2">
        <v>4707.1499999999996</v>
      </c>
      <c r="E110">
        <v>7</v>
      </c>
      <c r="F110">
        <v>0.3</v>
      </c>
      <c r="G110" t="s">
        <v>14</v>
      </c>
      <c r="H110" t="s">
        <v>21</v>
      </c>
      <c r="I110" t="s">
        <v>16</v>
      </c>
      <c r="J110" s="2">
        <f>Table1_1[[#This Row],[Sales]]-Table1_1[[#This Row],[Sales]]*Table1_1[[#This Row],[Discount]]</f>
        <v>3295.0050000000001</v>
      </c>
      <c r="K110" s="1">
        <v>45262</v>
      </c>
      <c r="L110" s="11">
        <v>45268</v>
      </c>
      <c r="M110">
        <f>DATEDIF(Table1_1[[#This Row],[Order Date]],Table1_1[[#This Row],[Ship Date]],"D")</f>
        <v>6</v>
      </c>
    </row>
    <row r="111" spans="1:13" x14ac:dyDescent="0.35">
      <c r="A111" t="s">
        <v>287</v>
      </c>
      <c r="B111" t="s">
        <v>288</v>
      </c>
      <c r="C111" t="s">
        <v>157</v>
      </c>
      <c r="D111" s="2">
        <v>4268.9799999999996</v>
      </c>
      <c r="E111">
        <v>2</v>
      </c>
      <c r="F111">
        <v>0</v>
      </c>
      <c r="G111" t="s">
        <v>14</v>
      </c>
      <c r="H111" t="s">
        <v>15</v>
      </c>
      <c r="I111" t="s">
        <v>16</v>
      </c>
      <c r="J111" s="2">
        <f>Table1_1[[#This Row],[Sales]]-Table1_1[[#This Row],[Sales]]*Table1_1[[#This Row],[Discount]]</f>
        <v>4268.9799999999996</v>
      </c>
      <c r="K111" s="1">
        <v>45348</v>
      </c>
      <c r="L111" s="11">
        <v>45349</v>
      </c>
      <c r="M111">
        <f>DATEDIF(Table1_1[[#This Row],[Order Date]],Table1_1[[#This Row],[Ship Date]],"D")</f>
        <v>1</v>
      </c>
    </row>
    <row r="112" spans="1:13" x14ac:dyDescent="0.35">
      <c r="A112" t="s">
        <v>289</v>
      </c>
      <c r="B112" t="s">
        <v>290</v>
      </c>
      <c r="C112" t="s">
        <v>291</v>
      </c>
      <c r="D112" s="2">
        <v>2363.2399999999998</v>
      </c>
      <c r="E112">
        <v>4</v>
      </c>
      <c r="F112">
        <v>0</v>
      </c>
      <c r="G112" t="s">
        <v>39</v>
      </c>
      <c r="H112" t="s">
        <v>15</v>
      </c>
      <c r="I112" t="s">
        <v>20</v>
      </c>
      <c r="J112" s="2">
        <f>Table1_1[[#This Row],[Sales]]-Table1_1[[#This Row],[Sales]]*Table1_1[[#This Row],[Discount]]</f>
        <v>2363.2399999999998</v>
      </c>
      <c r="K112" s="1">
        <v>45765</v>
      </c>
      <c r="L112" s="11">
        <v>45766</v>
      </c>
      <c r="M112">
        <f>DATEDIF(Table1_1[[#This Row],[Order Date]],Table1_1[[#This Row],[Ship Date]],"D")</f>
        <v>1</v>
      </c>
    </row>
    <row r="113" spans="1:13" x14ac:dyDescent="0.35">
      <c r="A113" t="s">
        <v>292</v>
      </c>
      <c r="B113" t="s">
        <v>201</v>
      </c>
      <c r="C113" t="s">
        <v>293</v>
      </c>
      <c r="D113" s="2">
        <v>755.93</v>
      </c>
      <c r="E113">
        <v>6</v>
      </c>
      <c r="F113">
        <v>0.1</v>
      </c>
      <c r="G113" t="s">
        <v>14</v>
      </c>
      <c r="H113" t="s">
        <v>21</v>
      </c>
      <c r="I113" t="s">
        <v>43</v>
      </c>
      <c r="J113" s="2">
        <f>Table1_1[[#This Row],[Sales]]-Table1_1[[#This Row],[Sales]]*Table1_1[[#This Row],[Discount]]</f>
        <v>680.33699999999999</v>
      </c>
      <c r="K113" s="1">
        <v>45651</v>
      </c>
      <c r="L113" s="11">
        <v>45657</v>
      </c>
      <c r="M113">
        <f>DATEDIF(Table1_1[[#This Row],[Order Date]],Table1_1[[#This Row],[Ship Date]],"D")</f>
        <v>6</v>
      </c>
    </row>
    <row r="114" spans="1:13" x14ac:dyDescent="0.35">
      <c r="A114" t="s">
        <v>294</v>
      </c>
      <c r="B114" t="s">
        <v>295</v>
      </c>
      <c r="C114" t="s">
        <v>211</v>
      </c>
      <c r="D114" s="2">
        <v>2600.27</v>
      </c>
      <c r="E114">
        <v>7</v>
      </c>
      <c r="F114">
        <v>0.2</v>
      </c>
      <c r="G114" t="s">
        <v>14</v>
      </c>
      <c r="H114" t="s">
        <v>21</v>
      </c>
      <c r="I114" t="s">
        <v>16</v>
      </c>
      <c r="J114" s="2">
        <f>Table1_1[[#This Row],[Sales]]-Table1_1[[#This Row],[Sales]]*Table1_1[[#This Row],[Discount]]</f>
        <v>2080.2159999999999</v>
      </c>
      <c r="K114" s="1">
        <v>45752</v>
      </c>
      <c r="L114" s="11">
        <v>45753</v>
      </c>
      <c r="M114">
        <f>DATEDIF(Table1_1[[#This Row],[Order Date]],Table1_1[[#This Row],[Ship Date]],"D")</f>
        <v>1</v>
      </c>
    </row>
    <row r="115" spans="1:13" x14ac:dyDescent="0.35">
      <c r="A115" t="s">
        <v>296</v>
      </c>
      <c r="B115" t="s">
        <v>104</v>
      </c>
      <c r="C115" t="s">
        <v>148</v>
      </c>
      <c r="D115" s="2">
        <v>4770.58</v>
      </c>
      <c r="E115">
        <v>7</v>
      </c>
      <c r="F115">
        <v>0.3</v>
      </c>
      <c r="G115" t="s">
        <v>14</v>
      </c>
      <c r="H115" t="s">
        <v>21</v>
      </c>
      <c r="I115" t="s">
        <v>16</v>
      </c>
      <c r="J115" s="2">
        <f>Table1_1[[#This Row],[Sales]]-Table1_1[[#This Row],[Sales]]*Table1_1[[#This Row],[Discount]]</f>
        <v>3339.4059999999999</v>
      </c>
      <c r="K115" s="1">
        <v>45749</v>
      </c>
      <c r="L115" s="11">
        <v>45750</v>
      </c>
      <c r="M115">
        <f>DATEDIF(Table1_1[[#This Row],[Order Date]],Table1_1[[#This Row],[Ship Date]],"D")</f>
        <v>1</v>
      </c>
    </row>
    <row r="116" spans="1:13" x14ac:dyDescent="0.35">
      <c r="A116" t="s">
        <v>297</v>
      </c>
      <c r="B116" t="s">
        <v>101</v>
      </c>
      <c r="C116" t="s">
        <v>262</v>
      </c>
      <c r="D116" s="2">
        <v>199.51</v>
      </c>
      <c r="E116">
        <v>1</v>
      </c>
      <c r="F116">
        <v>0</v>
      </c>
      <c r="G116" t="s">
        <v>14</v>
      </c>
      <c r="H116" t="s">
        <v>15</v>
      </c>
      <c r="I116" t="s">
        <v>20</v>
      </c>
      <c r="J116" s="2">
        <f>Table1_1[[#This Row],[Sales]]-Table1_1[[#This Row],[Sales]]*Table1_1[[#This Row],[Discount]]</f>
        <v>199.51</v>
      </c>
      <c r="K116" s="1">
        <v>45796</v>
      </c>
      <c r="L116" s="11">
        <v>45798</v>
      </c>
      <c r="M116">
        <f>DATEDIF(Table1_1[[#This Row],[Order Date]],Table1_1[[#This Row],[Ship Date]],"D")</f>
        <v>2</v>
      </c>
    </row>
    <row r="117" spans="1:13" x14ac:dyDescent="0.35">
      <c r="A117" t="s">
        <v>298</v>
      </c>
      <c r="B117" t="s">
        <v>299</v>
      </c>
      <c r="C117" t="s">
        <v>60</v>
      </c>
      <c r="D117" s="2">
        <v>189.73</v>
      </c>
      <c r="E117">
        <v>3</v>
      </c>
      <c r="F117">
        <v>0.1</v>
      </c>
      <c r="G117" t="s">
        <v>14</v>
      </c>
      <c r="H117" t="s">
        <v>21</v>
      </c>
      <c r="I117" t="s">
        <v>16</v>
      </c>
      <c r="J117" s="2">
        <f>Table1_1[[#This Row],[Sales]]-Table1_1[[#This Row],[Sales]]*Table1_1[[#This Row],[Discount]]</f>
        <v>170.75700000000001</v>
      </c>
      <c r="K117" s="1">
        <v>45074</v>
      </c>
      <c r="L117" s="11">
        <v>45081</v>
      </c>
      <c r="M117">
        <f>DATEDIF(Table1_1[[#This Row],[Order Date]],Table1_1[[#This Row],[Ship Date]],"D")</f>
        <v>7</v>
      </c>
    </row>
    <row r="118" spans="1:13" x14ac:dyDescent="0.35">
      <c r="A118" t="s">
        <v>300</v>
      </c>
      <c r="B118" t="s">
        <v>301</v>
      </c>
      <c r="C118" t="s">
        <v>262</v>
      </c>
      <c r="D118" s="2">
        <v>1712.88</v>
      </c>
      <c r="E118">
        <v>3</v>
      </c>
      <c r="F118">
        <v>0.3</v>
      </c>
      <c r="G118" t="s">
        <v>19</v>
      </c>
      <c r="H118" t="s">
        <v>15</v>
      </c>
      <c r="I118" t="s">
        <v>16</v>
      </c>
      <c r="J118" s="2">
        <f>Table1_1[[#This Row],[Sales]]-Table1_1[[#This Row],[Sales]]*Table1_1[[#This Row],[Discount]]</f>
        <v>1199.0160000000001</v>
      </c>
      <c r="K118" s="1">
        <v>45308</v>
      </c>
      <c r="L118" s="11">
        <v>45315</v>
      </c>
      <c r="M118">
        <f>DATEDIF(Table1_1[[#This Row],[Order Date]],Table1_1[[#This Row],[Ship Date]],"D")</f>
        <v>7</v>
      </c>
    </row>
    <row r="119" spans="1:13" x14ac:dyDescent="0.35">
      <c r="A119" t="s">
        <v>302</v>
      </c>
      <c r="B119" t="s">
        <v>303</v>
      </c>
      <c r="C119" t="s">
        <v>169</v>
      </c>
      <c r="D119" s="2">
        <v>2575.11</v>
      </c>
      <c r="E119">
        <v>1</v>
      </c>
      <c r="F119">
        <v>0.1</v>
      </c>
      <c r="G119" t="s">
        <v>14</v>
      </c>
      <c r="H119" t="s">
        <v>15</v>
      </c>
      <c r="I119" t="s">
        <v>20</v>
      </c>
      <c r="J119" s="2">
        <f>Table1_1[[#This Row],[Sales]]-Table1_1[[#This Row],[Sales]]*Table1_1[[#This Row],[Discount]]</f>
        <v>2317.5990000000002</v>
      </c>
      <c r="K119" s="1">
        <v>45484</v>
      </c>
      <c r="L119" s="11">
        <v>45486</v>
      </c>
      <c r="M119">
        <f>DATEDIF(Table1_1[[#This Row],[Order Date]],Table1_1[[#This Row],[Ship Date]],"D")</f>
        <v>2</v>
      </c>
    </row>
    <row r="120" spans="1:13" x14ac:dyDescent="0.35">
      <c r="A120" t="s">
        <v>304</v>
      </c>
      <c r="B120" t="s">
        <v>184</v>
      </c>
      <c r="C120" t="s">
        <v>190</v>
      </c>
      <c r="D120" s="2">
        <v>3524.92</v>
      </c>
      <c r="E120">
        <v>8</v>
      </c>
      <c r="F120">
        <v>0.2</v>
      </c>
      <c r="G120" t="s">
        <v>39</v>
      </c>
      <c r="H120" t="s">
        <v>15</v>
      </c>
      <c r="I120" t="s">
        <v>20</v>
      </c>
      <c r="J120" s="2">
        <f>Table1_1[[#This Row],[Sales]]-Table1_1[[#This Row],[Sales]]*Table1_1[[#This Row],[Discount]]</f>
        <v>2819.9360000000001</v>
      </c>
      <c r="K120" s="1">
        <v>45719</v>
      </c>
      <c r="L120" s="11">
        <v>45722</v>
      </c>
      <c r="M120">
        <f>DATEDIF(Table1_1[[#This Row],[Order Date]],Table1_1[[#This Row],[Ship Date]],"D")</f>
        <v>3</v>
      </c>
    </row>
    <row r="121" spans="1:13" x14ac:dyDescent="0.35">
      <c r="A121" t="s">
        <v>305</v>
      </c>
      <c r="B121" t="s">
        <v>306</v>
      </c>
      <c r="C121" t="s">
        <v>99</v>
      </c>
      <c r="D121" s="2">
        <v>1125.21</v>
      </c>
      <c r="E121">
        <v>8</v>
      </c>
      <c r="F121">
        <v>0.1</v>
      </c>
      <c r="G121" t="s">
        <v>14</v>
      </c>
      <c r="H121" t="s">
        <v>15</v>
      </c>
      <c r="I121" t="s">
        <v>16</v>
      </c>
      <c r="J121" s="2">
        <f>Table1_1[[#This Row],[Sales]]-Table1_1[[#This Row],[Sales]]*Table1_1[[#This Row],[Discount]]</f>
        <v>1012.6890000000001</v>
      </c>
      <c r="K121" s="1">
        <v>45733</v>
      </c>
      <c r="L121" s="11">
        <v>45738</v>
      </c>
      <c r="M121">
        <f>DATEDIF(Table1_1[[#This Row],[Order Date]],Table1_1[[#This Row],[Ship Date]],"D")</f>
        <v>5</v>
      </c>
    </row>
    <row r="122" spans="1:13" x14ac:dyDescent="0.35">
      <c r="A122" t="s">
        <v>307</v>
      </c>
      <c r="B122" t="s">
        <v>101</v>
      </c>
      <c r="C122" t="s">
        <v>240</v>
      </c>
      <c r="D122" s="2">
        <v>3828.21</v>
      </c>
      <c r="E122">
        <v>5</v>
      </c>
      <c r="F122">
        <v>0.1</v>
      </c>
      <c r="G122" t="s">
        <v>39</v>
      </c>
      <c r="H122" t="s">
        <v>15</v>
      </c>
      <c r="I122" t="s">
        <v>43</v>
      </c>
      <c r="J122" s="2">
        <f>Table1_1[[#This Row],[Sales]]-Table1_1[[#This Row],[Sales]]*Table1_1[[#This Row],[Discount]]</f>
        <v>3445.3890000000001</v>
      </c>
      <c r="K122" s="1">
        <v>45074</v>
      </c>
      <c r="L122" s="11">
        <v>45075</v>
      </c>
      <c r="M122">
        <f>DATEDIF(Table1_1[[#This Row],[Order Date]],Table1_1[[#This Row],[Ship Date]],"D")</f>
        <v>1</v>
      </c>
    </row>
    <row r="123" spans="1:13" x14ac:dyDescent="0.35">
      <c r="A123" t="s">
        <v>308</v>
      </c>
      <c r="B123" t="s">
        <v>309</v>
      </c>
      <c r="C123" t="s">
        <v>310</v>
      </c>
      <c r="D123" s="2">
        <v>2910.4</v>
      </c>
      <c r="E123">
        <v>3</v>
      </c>
      <c r="F123">
        <v>0</v>
      </c>
      <c r="G123" t="s">
        <v>39</v>
      </c>
      <c r="H123" t="s">
        <v>21</v>
      </c>
      <c r="I123" t="s">
        <v>20</v>
      </c>
      <c r="J123" s="2">
        <f>Table1_1[[#This Row],[Sales]]-Table1_1[[#This Row],[Sales]]*Table1_1[[#This Row],[Discount]]</f>
        <v>2910.4</v>
      </c>
      <c r="K123" s="1">
        <v>45246</v>
      </c>
      <c r="L123" s="11">
        <v>45250</v>
      </c>
      <c r="M123">
        <f>DATEDIF(Table1_1[[#This Row],[Order Date]],Table1_1[[#This Row],[Ship Date]],"D")</f>
        <v>4</v>
      </c>
    </row>
    <row r="124" spans="1:13" x14ac:dyDescent="0.35">
      <c r="A124" t="s">
        <v>311</v>
      </c>
      <c r="B124" t="s">
        <v>290</v>
      </c>
      <c r="C124" t="s">
        <v>246</v>
      </c>
      <c r="D124" s="2">
        <v>1023.83</v>
      </c>
      <c r="E124">
        <v>3</v>
      </c>
      <c r="F124">
        <v>0</v>
      </c>
      <c r="G124" t="s">
        <v>14</v>
      </c>
      <c r="H124" t="s">
        <v>21</v>
      </c>
      <c r="I124" t="s">
        <v>16</v>
      </c>
      <c r="J124" s="2">
        <f>Table1_1[[#This Row],[Sales]]-Table1_1[[#This Row],[Sales]]*Table1_1[[#This Row],[Discount]]</f>
        <v>1023.83</v>
      </c>
      <c r="K124" s="1">
        <v>44979</v>
      </c>
      <c r="L124" s="11">
        <v>44981</v>
      </c>
      <c r="M124">
        <f>DATEDIF(Table1_1[[#This Row],[Order Date]],Table1_1[[#This Row],[Ship Date]],"D")</f>
        <v>2</v>
      </c>
    </row>
    <row r="125" spans="1:13" x14ac:dyDescent="0.35">
      <c r="A125" t="s">
        <v>312</v>
      </c>
      <c r="B125" t="s">
        <v>25</v>
      </c>
      <c r="C125" t="s">
        <v>102</v>
      </c>
      <c r="D125" s="2">
        <v>3661.73</v>
      </c>
      <c r="E125">
        <v>6</v>
      </c>
      <c r="F125">
        <v>0.2</v>
      </c>
      <c r="G125" t="s">
        <v>14</v>
      </c>
      <c r="H125" t="s">
        <v>15</v>
      </c>
      <c r="I125" t="s">
        <v>20</v>
      </c>
      <c r="J125" s="2">
        <f>Table1_1[[#This Row],[Sales]]-Table1_1[[#This Row],[Sales]]*Table1_1[[#This Row],[Discount]]</f>
        <v>2929.384</v>
      </c>
      <c r="K125" s="1">
        <v>45657</v>
      </c>
      <c r="L125" s="11">
        <v>45659</v>
      </c>
      <c r="M125">
        <f>DATEDIF(Table1_1[[#This Row],[Order Date]],Table1_1[[#This Row],[Ship Date]],"D")</f>
        <v>2</v>
      </c>
    </row>
    <row r="126" spans="1:13" x14ac:dyDescent="0.35">
      <c r="A126" t="s">
        <v>313</v>
      </c>
      <c r="B126" t="s">
        <v>314</v>
      </c>
      <c r="C126" t="s">
        <v>214</v>
      </c>
      <c r="D126" s="2">
        <v>3092.94</v>
      </c>
      <c r="E126">
        <v>8</v>
      </c>
      <c r="F126">
        <v>0.2</v>
      </c>
      <c r="G126" t="s">
        <v>14</v>
      </c>
      <c r="H126" t="s">
        <v>15</v>
      </c>
      <c r="I126" t="s">
        <v>16</v>
      </c>
      <c r="J126" s="2">
        <f>Table1_1[[#This Row],[Sales]]-Table1_1[[#This Row],[Sales]]*Table1_1[[#This Row],[Discount]]</f>
        <v>2474.3519999999999</v>
      </c>
      <c r="K126" s="1">
        <v>45715</v>
      </c>
      <c r="L126" s="11">
        <v>45718</v>
      </c>
      <c r="M126">
        <f>DATEDIF(Table1_1[[#This Row],[Order Date]],Table1_1[[#This Row],[Ship Date]],"D")</f>
        <v>3</v>
      </c>
    </row>
    <row r="127" spans="1:13" x14ac:dyDescent="0.35">
      <c r="A127" t="s">
        <v>315</v>
      </c>
      <c r="B127" t="s">
        <v>306</v>
      </c>
      <c r="C127" t="s">
        <v>259</v>
      </c>
      <c r="D127" s="2">
        <v>2170.67</v>
      </c>
      <c r="E127">
        <v>2</v>
      </c>
      <c r="F127">
        <v>0.3</v>
      </c>
      <c r="G127" t="s">
        <v>19</v>
      </c>
      <c r="H127" t="s">
        <v>21</v>
      </c>
      <c r="I127" t="s">
        <v>16</v>
      </c>
      <c r="J127" s="2">
        <f>Table1_1[[#This Row],[Sales]]-Table1_1[[#This Row],[Sales]]*Table1_1[[#This Row],[Discount]]</f>
        <v>1519.4690000000001</v>
      </c>
      <c r="K127" s="1">
        <v>45067</v>
      </c>
      <c r="L127" s="11">
        <v>45068</v>
      </c>
      <c r="M127">
        <f>DATEDIF(Table1_1[[#This Row],[Order Date]],Table1_1[[#This Row],[Ship Date]],"D")</f>
        <v>1</v>
      </c>
    </row>
    <row r="128" spans="1:13" x14ac:dyDescent="0.35">
      <c r="A128" t="s">
        <v>316</v>
      </c>
      <c r="B128" t="s">
        <v>317</v>
      </c>
      <c r="C128" t="s">
        <v>318</v>
      </c>
      <c r="D128" s="2">
        <v>2134.13</v>
      </c>
      <c r="E128">
        <v>3</v>
      </c>
      <c r="F128">
        <v>0.3</v>
      </c>
      <c r="G128" t="s">
        <v>14</v>
      </c>
      <c r="H128" t="s">
        <v>21</v>
      </c>
      <c r="I128" t="s">
        <v>20</v>
      </c>
      <c r="J128" s="2">
        <f>Table1_1[[#This Row],[Sales]]-Table1_1[[#This Row],[Sales]]*Table1_1[[#This Row],[Discount]]</f>
        <v>1493.8910000000001</v>
      </c>
      <c r="K128" s="1">
        <v>45512</v>
      </c>
      <c r="L128" s="11">
        <v>45517</v>
      </c>
      <c r="M128">
        <f>DATEDIF(Table1_1[[#This Row],[Order Date]],Table1_1[[#This Row],[Ship Date]],"D")</f>
        <v>5</v>
      </c>
    </row>
    <row r="129" spans="1:13" x14ac:dyDescent="0.35">
      <c r="A129" t="s">
        <v>319</v>
      </c>
      <c r="B129" t="s">
        <v>280</v>
      </c>
      <c r="C129" t="s">
        <v>226</v>
      </c>
      <c r="D129" s="2">
        <v>4602.25</v>
      </c>
      <c r="E129">
        <v>3</v>
      </c>
      <c r="F129">
        <v>0.3</v>
      </c>
      <c r="G129" t="s">
        <v>19</v>
      </c>
      <c r="H129" t="s">
        <v>21</v>
      </c>
      <c r="I129" t="s">
        <v>16</v>
      </c>
      <c r="J129" s="2">
        <f>Table1_1[[#This Row],[Sales]]-Table1_1[[#This Row],[Sales]]*Table1_1[[#This Row],[Discount]]</f>
        <v>3221.5749999999998</v>
      </c>
      <c r="K129" s="1">
        <v>45627</v>
      </c>
      <c r="L129" s="11">
        <v>45631</v>
      </c>
      <c r="M129">
        <f>DATEDIF(Table1_1[[#This Row],[Order Date]],Table1_1[[#This Row],[Ship Date]],"D")</f>
        <v>4</v>
      </c>
    </row>
    <row r="130" spans="1:13" x14ac:dyDescent="0.35">
      <c r="A130" t="s">
        <v>320</v>
      </c>
      <c r="B130" t="s">
        <v>206</v>
      </c>
      <c r="C130" t="s">
        <v>13</v>
      </c>
      <c r="D130" s="2">
        <v>4096.18</v>
      </c>
      <c r="E130">
        <v>9</v>
      </c>
      <c r="F130">
        <v>0.2</v>
      </c>
      <c r="G130" t="s">
        <v>19</v>
      </c>
      <c r="H130" t="s">
        <v>21</v>
      </c>
      <c r="I130" t="s">
        <v>43</v>
      </c>
      <c r="J130" s="2">
        <f>Table1_1[[#This Row],[Sales]]-Table1_1[[#This Row],[Sales]]*Table1_1[[#This Row],[Discount]]</f>
        <v>3276.9440000000004</v>
      </c>
      <c r="K130" s="1">
        <v>45404</v>
      </c>
      <c r="L130" s="11">
        <v>45405</v>
      </c>
      <c r="M130">
        <f>DATEDIF(Table1_1[[#This Row],[Order Date]],Table1_1[[#This Row],[Ship Date]],"D")</f>
        <v>1</v>
      </c>
    </row>
    <row r="131" spans="1:13" x14ac:dyDescent="0.35">
      <c r="A131" t="s">
        <v>321</v>
      </c>
      <c r="B131" t="s">
        <v>322</v>
      </c>
      <c r="C131" t="s">
        <v>113</v>
      </c>
      <c r="D131" s="2">
        <v>3410.51</v>
      </c>
      <c r="E131">
        <v>4</v>
      </c>
      <c r="F131">
        <v>0.2</v>
      </c>
      <c r="G131" t="s">
        <v>14</v>
      </c>
      <c r="H131" t="s">
        <v>15</v>
      </c>
      <c r="I131" t="s">
        <v>16</v>
      </c>
      <c r="J131" s="2">
        <f>Table1_1[[#This Row],[Sales]]-Table1_1[[#This Row],[Sales]]*Table1_1[[#This Row],[Discount]]</f>
        <v>2728.4080000000004</v>
      </c>
      <c r="K131" s="1">
        <v>45737</v>
      </c>
      <c r="L131" s="11">
        <v>45740</v>
      </c>
      <c r="M131">
        <f>DATEDIF(Table1_1[[#This Row],[Order Date]],Table1_1[[#This Row],[Ship Date]],"D")</f>
        <v>3</v>
      </c>
    </row>
    <row r="132" spans="1:13" x14ac:dyDescent="0.35">
      <c r="A132" t="s">
        <v>323</v>
      </c>
      <c r="B132" t="s">
        <v>324</v>
      </c>
      <c r="C132" t="s">
        <v>169</v>
      </c>
      <c r="D132" s="2">
        <v>2535.5700000000002</v>
      </c>
      <c r="E132">
        <v>2</v>
      </c>
      <c r="F132">
        <v>0.2</v>
      </c>
      <c r="G132" t="s">
        <v>14</v>
      </c>
      <c r="H132" t="s">
        <v>21</v>
      </c>
      <c r="I132" t="s">
        <v>20</v>
      </c>
      <c r="J132" s="2">
        <f>Table1_1[[#This Row],[Sales]]-Table1_1[[#This Row],[Sales]]*Table1_1[[#This Row],[Discount]]</f>
        <v>2028.4560000000001</v>
      </c>
      <c r="K132" s="1">
        <v>45204</v>
      </c>
      <c r="L132" s="11">
        <v>45206</v>
      </c>
      <c r="M132">
        <f>DATEDIF(Table1_1[[#This Row],[Order Date]],Table1_1[[#This Row],[Ship Date]],"D")</f>
        <v>2</v>
      </c>
    </row>
    <row r="133" spans="1:13" x14ac:dyDescent="0.35">
      <c r="A133" t="s">
        <v>325</v>
      </c>
      <c r="B133" t="s">
        <v>326</v>
      </c>
      <c r="C133" t="s">
        <v>57</v>
      </c>
      <c r="D133" s="2">
        <v>4961.57</v>
      </c>
      <c r="E133">
        <v>7</v>
      </c>
      <c r="F133">
        <v>0.3</v>
      </c>
      <c r="G133" t="s">
        <v>39</v>
      </c>
      <c r="H133" t="s">
        <v>21</v>
      </c>
      <c r="I133" t="s">
        <v>43</v>
      </c>
      <c r="J133" s="2">
        <f>Table1_1[[#This Row],[Sales]]-Table1_1[[#This Row],[Sales]]*Table1_1[[#This Row],[Discount]]</f>
        <v>3473.0990000000002</v>
      </c>
      <c r="K133" s="1">
        <v>45584</v>
      </c>
      <c r="L133" s="11">
        <v>45586</v>
      </c>
      <c r="M133">
        <f>DATEDIF(Table1_1[[#This Row],[Order Date]],Table1_1[[#This Row],[Ship Date]],"D")</f>
        <v>2</v>
      </c>
    </row>
    <row r="134" spans="1:13" x14ac:dyDescent="0.35">
      <c r="A134" t="s">
        <v>327</v>
      </c>
      <c r="B134" t="s">
        <v>328</v>
      </c>
      <c r="C134" t="s">
        <v>329</v>
      </c>
      <c r="D134" s="2">
        <v>1460.06</v>
      </c>
      <c r="E134">
        <v>2</v>
      </c>
      <c r="F134">
        <v>0.2</v>
      </c>
      <c r="G134" t="s">
        <v>14</v>
      </c>
      <c r="H134" t="s">
        <v>15</v>
      </c>
      <c r="I134" t="s">
        <v>16</v>
      </c>
      <c r="J134" s="2">
        <f>Table1_1[[#This Row],[Sales]]-Table1_1[[#This Row],[Sales]]*Table1_1[[#This Row],[Discount]]</f>
        <v>1168.048</v>
      </c>
      <c r="K134" s="1">
        <v>44935</v>
      </c>
      <c r="L134" s="11">
        <v>44937</v>
      </c>
      <c r="M134">
        <f>DATEDIF(Table1_1[[#This Row],[Order Date]],Table1_1[[#This Row],[Ship Date]],"D")</f>
        <v>2</v>
      </c>
    </row>
    <row r="135" spans="1:13" x14ac:dyDescent="0.35">
      <c r="A135" t="s">
        <v>330</v>
      </c>
      <c r="B135" t="s">
        <v>331</v>
      </c>
      <c r="C135" t="s">
        <v>118</v>
      </c>
      <c r="D135" s="2">
        <v>2057.2199999999998</v>
      </c>
      <c r="E135">
        <v>9</v>
      </c>
      <c r="F135">
        <v>0.2</v>
      </c>
      <c r="G135" t="s">
        <v>14</v>
      </c>
      <c r="H135" t="s">
        <v>15</v>
      </c>
      <c r="I135" t="s">
        <v>16</v>
      </c>
      <c r="J135" s="2">
        <f>Table1_1[[#This Row],[Sales]]-Table1_1[[#This Row],[Sales]]*Table1_1[[#This Row],[Discount]]</f>
        <v>1645.7759999999998</v>
      </c>
      <c r="K135" s="1">
        <v>45262</v>
      </c>
      <c r="L135" s="11">
        <v>45266</v>
      </c>
      <c r="M135">
        <f>DATEDIF(Table1_1[[#This Row],[Order Date]],Table1_1[[#This Row],[Ship Date]],"D")</f>
        <v>4</v>
      </c>
    </row>
    <row r="136" spans="1:13" x14ac:dyDescent="0.35">
      <c r="A136" t="s">
        <v>332</v>
      </c>
      <c r="B136" t="s">
        <v>333</v>
      </c>
      <c r="C136" t="s">
        <v>273</v>
      </c>
      <c r="D136" s="2">
        <v>1747.19</v>
      </c>
      <c r="E136">
        <v>10</v>
      </c>
      <c r="F136">
        <v>0</v>
      </c>
      <c r="G136" t="s">
        <v>14</v>
      </c>
      <c r="H136" t="s">
        <v>21</v>
      </c>
      <c r="I136" t="s">
        <v>20</v>
      </c>
      <c r="J136" s="2">
        <f>Table1_1[[#This Row],[Sales]]-Table1_1[[#This Row],[Sales]]*Table1_1[[#This Row],[Discount]]</f>
        <v>1747.19</v>
      </c>
      <c r="K136" s="1">
        <v>45140</v>
      </c>
      <c r="L136" s="11">
        <v>45147</v>
      </c>
      <c r="M136">
        <f>DATEDIF(Table1_1[[#This Row],[Order Date]],Table1_1[[#This Row],[Ship Date]],"D")</f>
        <v>7</v>
      </c>
    </row>
    <row r="137" spans="1:13" x14ac:dyDescent="0.35">
      <c r="A137" t="s">
        <v>334</v>
      </c>
      <c r="B137" t="s">
        <v>335</v>
      </c>
      <c r="C137" t="s">
        <v>336</v>
      </c>
      <c r="D137" s="2">
        <v>1772.17</v>
      </c>
      <c r="E137">
        <v>6</v>
      </c>
      <c r="F137">
        <v>0.2</v>
      </c>
      <c r="G137" t="s">
        <v>14</v>
      </c>
      <c r="H137" t="s">
        <v>15</v>
      </c>
      <c r="I137" t="s">
        <v>20</v>
      </c>
      <c r="J137" s="2">
        <f>Table1_1[[#This Row],[Sales]]-Table1_1[[#This Row],[Sales]]*Table1_1[[#This Row],[Discount]]</f>
        <v>1417.7360000000001</v>
      </c>
      <c r="K137" s="1">
        <v>45775</v>
      </c>
      <c r="L137" s="11">
        <v>45778</v>
      </c>
      <c r="M137">
        <f>DATEDIF(Table1_1[[#This Row],[Order Date]],Table1_1[[#This Row],[Ship Date]],"D")</f>
        <v>3</v>
      </c>
    </row>
    <row r="138" spans="1:13" x14ac:dyDescent="0.35">
      <c r="A138" t="s">
        <v>337</v>
      </c>
      <c r="B138" t="s">
        <v>338</v>
      </c>
      <c r="C138" t="s">
        <v>220</v>
      </c>
      <c r="D138" s="2">
        <v>241.66</v>
      </c>
      <c r="E138">
        <v>7</v>
      </c>
      <c r="F138">
        <v>0.1</v>
      </c>
      <c r="G138" t="s">
        <v>14</v>
      </c>
      <c r="H138" t="s">
        <v>21</v>
      </c>
      <c r="I138" t="s">
        <v>43</v>
      </c>
      <c r="J138" s="2">
        <f>Table1_1[[#This Row],[Sales]]-Table1_1[[#This Row],[Sales]]*Table1_1[[#This Row],[Discount]]</f>
        <v>217.494</v>
      </c>
      <c r="K138" s="1">
        <v>45342</v>
      </c>
      <c r="L138" s="11">
        <v>45348</v>
      </c>
      <c r="M138">
        <f>DATEDIF(Table1_1[[#This Row],[Order Date]],Table1_1[[#This Row],[Ship Date]],"D")</f>
        <v>6</v>
      </c>
    </row>
    <row r="139" spans="1:13" x14ac:dyDescent="0.35">
      <c r="A139" t="s">
        <v>339</v>
      </c>
      <c r="B139" t="s">
        <v>340</v>
      </c>
      <c r="C139" t="s">
        <v>341</v>
      </c>
      <c r="D139" s="2">
        <v>4871.38</v>
      </c>
      <c r="E139">
        <v>9</v>
      </c>
      <c r="F139">
        <v>0.2</v>
      </c>
      <c r="G139" t="s">
        <v>14</v>
      </c>
      <c r="H139" t="s">
        <v>21</v>
      </c>
      <c r="I139" t="s">
        <v>16</v>
      </c>
      <c r="J139" s="2">
        <f>Table1_1[[#This Row],[Sales]]-Table1_1[[#This Row],[Sales]]*Table1_1[[#This Row],[Discount]]</f>
        <v>3897.1040000000003</v>
      </c>
      <c r="K139" s="1">
        <v>45765</v>
      </c>
      <c r="L139" s="11">
        <v>45770</v>
      </c>
      <c r="M139">
        <f>DATEDIF(Table1_1[[#This Row],[Order Date]],Table1_1[[#This Row],[Ship Date]],"D")</f>
        <v>5</v>
      </c>
    </row>
    <row r="140" spans="1:13" x14ac:dyDescent="0.35">
      <c r="A140" t="s">
        <v>342</v>
      </c>
      <c r="B140" t="s">
        <v>219</v>
      </c>
      <c r="C140" t="s">
        <v>60</v>
      </c>
      <c r="D140" s="2">
        <v>4848.66</v>
      </c>
      <c r="E140">
        <v>8</v>
      </c>
      <c r="F140">
        <v>0.3</v>
      </c>
      <c r="G140" t="s">
        <v>39</v>
      </c>
      <c r="H140" t="s">
        <v>15</v>
      </c>
      <c r="I140" t="s">
        <v>20</v>
      </c>
      <c r="J140" s="2">
        <f>Table1_1[[#This Row],[Sales]]-Table1_1[[#This Row],[Sales]]*Table1_1[[#This Row],[Discount]]</f>
        <v>3394.0619999999999</v>
      </c>
      <c r="K140" s="1">
        <v>45226</v>
      </c>
      <c r="L140" s="11">
        <v>45229</v>
      </c>
      <c r="M140">
        <f>DATEDIF(Table1_1[[#This Row],[Order Date]],Table1_1[[#This Row],[Ship Date]],"D")</f>
        <v>3</v>
      </c>
    </row>
    <row r="141" spans="1:13" x14ac:dyDescent="0.35">
      <c r="A141" t="s">
        <v>343</v>
      </c>
      <c r="B141" t="s">
        <v>280</v>
      </c>
      <c r="C141" t="s">
        <v>94</v>
      </c>
      <c r="D141" s="2">
        <v>4656.83</v>
      </c>
      <c r="E141">
        <v>4</v>
      </c>
      <c r="F141">
        <v>0</v>
      </c>
      <c r="G141" t="s">
        <v>14</v>
      </c>
      <c r="H141" t="s">
        <v>21</v>
      </c>
      <c r="I141" t="s">
        <v>16</v>
      </c>
      <c r="J141" s="2">
        <f>Table1_1[[#This Row],[Sales]]-Table1_1[[#This Row],[Sales]]*Table1_1[[#This Row],[Discount]]</f>
        <v>4656.83</v>
      </c>
      <c r="K141" s="1">
        <v>45303</v>
      </c>
      <c r="L141" s="11">
        <v>45305</v>
      </c>
      <c r="M141">
        <f>DATEDIF(Table1_1[[#This Row],[Order Date]],Table1_1[[#This Row],[Ship Date]],"D")</f>
        <v>2</v>
      </c>
    </row>
    <row r="142" spans="1:13" x14ac:dyDescent="0.35">
      <c r="A142" t="s">
        <v>344</v>
      </c>
      <c r="B142" t="s">
        <v>345</v>
      </c>
      <c r="C142" t="s">
        <v>91</v>
      </c>
      <c r="D142" s="2">
        <v>2265.21</v>
      </c>
      <c r="E142">
        <v>3</v>
      </c>
      <c r="F142">
        <v>0</v>
      </c>
      <c r="G142" t="s">
        <v>14</v>
      </c>
      <c r="H142" t="s">
        <v>15</v>
      </c>
      <c r="I142" t="s">
        <v>16</v>
      </c>
      <c r="J142" s="2">
        <f>Table1_1[[#This Row],[Sales]]-Table1_1[[#This Row],[Sales]]*Table1_1[[#This Row],[Discount]]</f>
        <v>2265.21</v>
      </c>
      <c r="K142" s="1">
        <v>45206</v>
      </c>
      <c r="L142" s="11">
        <v>45210</v>
      </c>
      <c r="M142">
        <f>DATEDIF(Table1_1[[#This Row],[Order Date]],Table1_1[[#This Row],[Ship Date]],"D")</f>
        <v>4</v>
      </c>
    </row>
    <row r="143" spans="1:13" x14ac:dyDescent="0.35">
      <c r="A143" t="s">
        <v>346</v>
      </c>
      <c r="B143" t="s">
        <v>347</v>
      </c>
      <c r="C143" t="s">
        <v>157</v>
      </c>
      <c r="D143" s="2">
        <v>4940.82</v>
      </c>
      <c r="E143">
        <v>4</v>
      </c>
      <c r="F143">
        <v>0.2</v>
      </c>
      <c r="G143" t="s">
        <v>39</v>
      </c>
      <c r="H143" t="s">
        <v>15</v>
      </c>
      <c r="I143" t="s">
        <v>16</v>
      </c>
      <c r="J143" s="2">
        <f>Table1_1[[#This Row],[Sales]]-Table1_1[[#This Row],[Sales]]*Table1_1[[#This Row],[Discount]]</f>
        <v>3952.6559999999999</v>
      </c>
      <c r="K143" s="1">
        <v>45705</v>
      </c>
      <c r="L143" s="11">
        <v>45711</v>
      </c>
      <c r="M143">
        <f>DATEDIF(Table1_1[[#This Row],[Order Date]],Table1_1[[#This Row],[Ship Date]],"D")</f>
        <v>6</v>
      </c>
    </row>
    <row r="144" spans="1:13" x14ac:dyDescent="0.35">
      <c r="A144" t="s">
        <v>348</v>
      </c>
      <c r="B144" t="s">
        <v>349</v>
      </c>
      <c r="C144" t="s">
        <v>197</v>
      </c>
      <c r="D144" s="2">
        <v>596.51</v>
      </c>
      <c r="E144">
        <v>10</v>
      </c>
      <c r="F144">
        <v>0</v>
      </c>
      <c r="G144" t="s">
        <v>14</v>
      </c>
      <c r="H144" t="s">
        <v>15</v>
      </c>
      <c r="I144" t="s">
        <v>16</v>
      </c>
      <c r="J144" s="2">
        <f>Table1_1[[#This Row],[Sales]]-Table1_1[[#This Row],[Sales]]*Table1_1[[#This Row],[Discount]]</f>
        <v>596.51</v>
      </c>
      <c r="K144" s="1">
        <v>45528</v>
      </c>
      <c r="L144" s="11">
        <v>45535</v>
      </c>
      <c r="M144">
        <f>DATEDIF(Table1_1[[#This Row],[Order Date]],Table1_1[[#This Row],[Ship Date]],"D")</f>
        <v>7</v>
      </c>
    </row>
    <row r="145" spans="1:13" x14ac:dyDescent="0.35">
      <c r="A145" t="s">
        <v>350</v>
      </c>
      <c r="B145" t="s">
        <v>351</v>
      </c>
      <c r="C145" t="s">
        <v>211</v>
      </c>
      <c r="D145" s="2">
        <v>1354.51</v>
      </c>
      <c r="E145">
        <v>1</v>
      </c>
      <c r="F145">
        <v>0.2</v>
      </c>
      <c r="G145" t="s">
        <v>14</v>
      </c>
      <c r="H145" t="s">
        <v>15</v>
      </c>
      <c r="I145" t="s">
        <v>43</v>
      </c>
      <c r="J145" s="2">
        <f>Table1_1[[#This Row],[Sales]]-Table1_1[[#This Row],[Sales]]*Table1_1[[#This Row],[Discount]]</f>
        <v>1083.6079999999999</v>
      </c>
      <c r="K145" s="1">
        <v>45167</v>
      </c>
      <c r="L145" s="11">
        <v>45171</v>
      </c>
      <c r="M145">
        <f>DATEDIF(Table1_1[[#This Row],[Order Date]],Table1_1[[#This Row],[Ship Date]],"D")</f>
        <v>4</v>
      </c>
    </row>
    <row r="146" spans="1:13" x14ac:dyDescent="0.35">
      <c r="A146" t="s">
        <v>352</v>
      </c>
      <c r="B146" t="s">
        <v>353</v>
      </c>
      <c r="C146" t="s">
        <v>354</v>
      </c>
      <c r="D146" s="2">
        <v>3618.61</v>
      </c>
      <c r="E146">
        <v>4</v>
      </c>
      <c r="F146">
        <v>0.2</v>
      </c>
      <c r="G146" t="s">
        <v>14</v>
      </c>
      <c r="H146" t="s">
        <v>15</v>
      </c>
      <c r="I146" t="s">
        <v>20</v>
      </c>
      <c r="J146" s="2">
        <f>Table1_1[[#This Row],[Sales]]-Table1_1[[#This Row],[Sales]]*Table1_1[[#This Row],[Discount]]</f>
        <v>2894.8879999999999</v>
      </c>
      <c r="K146" s="1">
        <v>45622</v>
      </c>
      <c r="L146" s="11">
        <v>45623</v>
      </c>
      <c r="M146">
        <f>DATEDIF(Table1_1[[#This Row],[Order Date]],Table1_1[[#This Row],[Ship Date]],"D")</f>
        <v>1</v>
      </c>
    </row>
    <row r="147" spans="1:13" x14ac:dyDescent="0.35">
      <c r="A147" t="s">
        <v>355</v>
      </c>
      <c r="B147" t="s">
        <v>356</v>
      </c>
      <c r="C147" t="s">
        <v>357</v>
      </c>
      <c r="D147" s="2">
        <v>919.69</v>
      </c>
      <c r="E147">
        <v>3</v>
      </c>
      <c r="F147">
        <v>0</v>
      </c>
      <c r="G147" t="s">
        <v>19</v>
      </c>
      <c r="H147" t="s">
        <v>15</v>
      </c>
      <c r="I147" t="s">
        <v>20</v>
      </c>
      <c r="J147" s="2">
        <f>Table1_1[[#This Row],[Sales]]-Table1_1[[#This Row],[Sales]]*Table1_1[[#This Row],[Discount]]</f>
        <v>919.69</v>
      </c>
      <c r="K147" s="1">
        <v>45277</v>
      </c>
      <c r="L147" s="11">
        <v>45278</v>
      </c>
      <c r="M147">
        <f>DATEDIF(Table1_1[[#This Row],[Order Date]],Table1_1[[#This Row],[Ship Date]],"D")</f>
        <v>1</v>
      </c>
    </row>
    <row r="148" spans="1:13" x14ac:dyDescent="0.35">
      <c r="A148" t="s">
        <v>358</v>
      </c>
      <c r="B148" t="s">
        <v>124</v>
      </c>
      <c r="C148" t="s">
        <v>359</v>
      </c>
      <c r="D148" s="2">
        <v>570.59</v>
      </c>
      <c r="E148">
        <v>1</v>
      </c>
      <c r="F148">
        <v>0.1</v>
      </c>
      <c r="G148" t="s">
        <v>39</v>
      </c>
      <c r="H148" t="s">
        <v>15</v>
      </c>
      <c r="I148" t="s">
        <v>43</v>
      </c>
      <c r="J148" s="2">
        <f>Table1_1[[#This Row],[Sales]]-Table1_1[[#This Row],[Sales]]*Table1_1[[#This Row],[Discount]]</f>
        <v>513.53100000000006</v>
      </c>
      <c r="K148" s="1">
        <v>45139</v>
      </c>
      <c r="L148" s="11">
        <v>45144</v>
      </c>
      <c r="M148">
        <f>DATEDIF(Table1_1[[#This Row],[Order Date]],Table1_1[[#This Row],[Ship Date]],"D")</f>
        <v>5</v>
      </c>
    </row>
    <row r="149" spans="1:13" x14ac:dyDescent="0.35">
      <c r="A149" t="s">
        <v>360</v>
      </c>
      <c r="B149" t="s">
        <v>351</v>
      </c>
      <c r="C149" t="s">
        <v>157</v>
      </c>
      <c r="D149" s="2">
        <v>3228.28</v>
      </c>
      <c r="E149">
        <v>2</v>
      </c>
      <c r="F149">
        <v>0.3</v>
      </c>
      <c r="G149" t="s">
        <v>14</v>
      </c>
      <c r="H149" t="s">
        <v>15</v>
      </c>
      <c r="I149" t="s">
        <v>20</v>
      </c>
      <c r="J149" s="2">
        <f>Table1_1[[#This Row],[Sales]]-Table1_1[[#This Row],[Sales]]*Table1_1[[#This Row],[Discount]]</f>
        <v>2259.7960000000003</v>
      </c>
      <c r="K149" s="1">
        <v>45378</v>
      </c>
      <c r="L149" s="11">
        <v>45380</v>
      </c>
      <c r="M149">
        <f>DATEDIF(Table1_1[[#This Row],[Order Date]],Table1_1[[#This Row],[Ship Date]],"D")</f>
        <v>2</v>
      </c>
    </row>
    <row r="150" spans="1:13" x14ac:dyDescent="0.35">
      <c r="A150" t="s">
        <v>361</v>
      </c>
      <c r="B150" t="s">
        <v>239</v>
      </c>
      <c r="C150" t="s">
        <v>220</v>
      </c>
      <c r="D150" s="2">
        <v>4530.04</v>
      </c>
      <c r="E150">
        <v>8</v>
      </c>
      <c r="F150">
        <v>0.3</v>
      </c>
      <c r="G150" t="s">
        <v>14</v>
      </c>
      <c r="H150" t="s">
        <v>15</v>
      </c>
      <c r="I150" t="s">
        <v>20</v>
      </c>
      <c r="J150" s="2">
        <f>Table1_1[[#This Row],[Sales]]-Table1_1[[#This Row],[Sales]]*Table1_1[[#This Row],[Discount]]</f>
        <v>3171.0280000000002</v>
      </c>
      <c r="K150" s="1">
        <v>45658</v>
      </c>
      <c r="L150" s="11">
        <v>45661</v>
      </c>
      <c r="M150">
        <f>DATEDIF(Table1_1[[#This Row],[Order Date]],Table1_1[[#This Row],[Ship Date]],"D")</f>
        <v>3</v>
      </c>
    </row>
    <row r="151" spans="1:13" x14ac:dyDescent="0.35">
      <c r="A151" t="s">
        <v>362</v>
      </c>
      <c r="B151" t="s">
        <v>363</v>
      </c>
      <c r="C151" t="s">
        <v>89</v>
      </c>
      <c r="D151" s="2">
        <v>2760.43</v>
      </c>
      <c r="E151">
        <v>4</v>
      </c>
      <c r="F151">
        <v>0</v>
      </c>
      <c r="G151" t="s">
        <v>39</v>
      </c>
      <c r="H151" t="s">
        <v>21</v>
      </c>
      <c r="I151" t="s">
        <v>20</v>
      </c>
      <c r="J151" s="2">
        <f>Table1_1[[#This Row],[Sales]]-Table1_1[[#This Row],[Sales]]*Table1_1[[#This Row],[Discount]]</f>
        <v>2760.43</v>
      </c>
      <c r="K151" s="1">
        <v>45214</v>
      </c>
      <c r="L151" s="11">
        <v>45219</v>
      </c>
      <c r="M151">
        <f>DATEDIF(Table1_1[[#This Row],[Order Date]],Table1_1[[#This Row],[Ship Date]],"D")</f>
        <v>5</v>
      </c>
    </row>
    <row r="152" spans="1:13" x14ac:dyDescent="0.35">
      <c r="A152" t="s">
        <v>364</v>
      </c>
      <c r="B152" t="s">
        <v>365</v>
      </c>
      <c r="C152" t="s">
        <v>265</v>
      </c>
      <c r="D152" s="2">
        <v>300.92</v>
      </c>
      <c r="E152">
        <v>5</v>
      </c>
      <c r="F152">
        <v>0.3</v>
      </c>
      <c r="G152" t="s">
        <v>39</v>
      </c>
      <c r="H152" t="s">
        <v>15</v>
      </c>
      <c r="I152" t="s">
        <v>20</v>
      </c>
      <c r="J152" s="2">
        <f>Table1_1[[#This Row],[Sales]]-Table1_1[[#This Row],[Sales]]*Table1_1[[#This Row],[Discount]]</f>
        <v>210.64400000000001</v>
      </c>
      <c r="K152" s="1">
        <v>45314</v>
      </c>
      <c r="L152" s="11">
        <v>45320</v>
      </c>
      <c r="M152">
        <f>DATEDIF(Table1_1[[#This Row],[Order Date]],Table1_1[[#This Row],[Ship Date]],"D")</f>
        <v>6</v>
      </c>
    </row>
    <row r="153" spans="1:13" x14ac:dyDescent="0.35">
      <c r="A153" t="s">
        <v>366</v>
      </c>
      <c r="B153" t="s">
        <v>213</v>
      </c>
      <c r="C153" t="s">
        <v>94</v>
      </c>
      <c r="D153" s="2">
        <v>988.28</v>
      </c>
      <c r="E153">
        <v>6</v>
      </c>
      <c r="F153">
        <v>0.1</v>
      </c>
      <c r="G153" t="s">
        <v>14</v>
      </c>
      <c r="H153" t="s">
        <v>15</v>
      </c>
      <c r="I153" t="s">
        <v>20</v>
      </c>
      <c r="J153" s="2">
        <f>Table1_1[[#This Row],[Sales]]-Table1_1[[#This Row],[Sales]]*Table1_1[[#This Row],[Discount]]</f>
        <v>889.452</v>
      </c>
      <c r="K153" s="1">
        <v>45328</v>
      </c>
      <c r="L153" s="11">
        <v>45332</v>
      </c>
      <c r="M153">
        <f>DATEDIF(Table1_1[[#This Row],[Order Date]],Table1_1[[#This Row],[Ship Date]],"D")</f>
        <v>4</v>
      </c>
    </row>
    <row r="154" spans="1:13" x14ac:dyDescent="0.35">
      <c r="A154" t="s">
        <v>367</v>
      </c>
      <c r="B154" t="s">
        <v>122</v>
      </c>
      <c r="C154" t="s">
        <v>42</v>
      </c>
      <c r="D154" s="2">
        <v>3922.7</v>
      </c>
      <c r="E154">
        <v>7</v>
      </c>
      <c r="F154">
        <v>0</v>
      </c>
      <c r="G154" t="s">
        <v>39</v>
      </c>
      <c r="H154" t="s">
        <v>15</v>
      </c>
      <c r="I154" t="s">
        <v>16</v>
      </c>
      <c r="J154" s="2">
        <f>Table1_1[[#This Row],[Sales]]-Table1_1[[#This Row],[Sales]]*Table1_1[[#This Row],[Discount]]</f>
        <v>3922.7</v>
      </c>
      <c r="K154" s="1">
        <v>44997</v>
      </c>
      <c r="L154" s="11">
        <v>45003</v>
      </c>
      <c r="M154">
        <f>DATEDIF(Table1_1[[#This Row],[Order Date]],Table1_1[[#This Row],[Ship Date]],"D")</f>
        <v>6</v>
      </c>
    </row>
    <row r="155" spans="1:13" x14ac:dyDescent="0.35">
      <c r="A155" t="s">
        <v>368</v>
      </c>
      <c r="B155" t="s">
        <v>84</v>
      </c>
      <c r="C155" t="s">
        <v>240</v>
      </c>
      <c r="D155" s="2">
        <v>3383.14</v>
      </c>
      <c r="E155">
        <v>4</v>
      </c>
      <c r="F155">
        <v>0.2</v>
      </c>
      <c r="G155" t="s">
        <v>14</v>
      </c>
      <c r="H155" t="s">
        <v>21</v>
      </c>
      <c r="I155" t="s">
        <v>16</v>
      </c>
      <c r="J155" s="2">
        <f>Table1_1[[#This Row],[Sales]]-Table1_1[[#This Row],[Sales]]*Table1_1[[#This Row],[Discount]]</f>
        <v>2706.5119999999997</v>
      </c>
      <c r="K155" s="1">
        <v>45427</v>
      </c>
      <c r="L155" s="11">
        <v>45429</v>
      </c>
      <c r="M155">
        <f>DATEDIF(Table1_1[[#This Row],[Order Date]],Table1_1[[#This Row],[Ship Date]],"D")</f>
        <v>2</v>
      </c>
    </row>
    <row r="156" spans="1:13" x14ac:dyDescent="0.35">
      <c r="A156" t="s">
        <v>369</v>
      </c>
      <c r="B156" t="s">
        <v>165</v>
      </c>
      <c r="C156" t="s">
        <v>31</v>
      </c>
      <c r="D156" s="2">
        <v>741.22</v>
      </c>
      <c r="E156">
        <v>2</v>
      </c>
      <c r="F156">
        <v>0</v>
      </c>
      <c r="G156" t="s">
        <v>39</v>
      </c>
      <c r="H156" t="s">
        <v>15</v>
      </c>
      <c r="I156" t="s">
        <v>16</v>
      </c>
      <c r="J156" s="2">
        <f>Table1_1[[#This Row],[Sales]]-Table1_1[[#This Row],[Sales]]*Table1_1[[#This Row],[Discount]]</f>
        <v>741.22</v>
      </c>
      <c r="K156" s="1">
        <v>45556</v>
      </c>
      <c r="L156" s="11">
        <v>45557</v>
      </c>
      <c r="M156">
        <f>DATEDIF(Table1_1[[#This Row],[Order Date]],Table1_1[[#This Row],[Ship Date]],"D")</f>
        <v>1</v>
      </c>
    </row>
    <row r="157" spans="1:13" x14ac:dyDescent="0.35">
      <c r="A157" t="s">
        <v>370</v>
      </c>
      <c r="B157" t="s">
        <v>371</v>
      </c>
      <c r="C157" t="s">
        <v>231</v>
      </c>
      <c r="D157" s="2">
        <v>989.35</v>
      </c>
      <c r="E157">
        <v>6</v>
      </c>
      <c r="F157">
        <v>0</v>
      </c>
      <c r="G157" t="s">
        <v>14</v>
      </c>
      <c r="H157" t="s">
        <v>15</v>
      </c>
      <c r="I157" t="s">
        <v>16</v>
      </c>
      <c r="J157" s="2">
        <f>Table1_1[[#This Row],[Sales]]-Table1_1[[#This Row],[Sales]]*Table1_1[[#This Row],[Discount]]</f>
        <v>989.35</v>
      </c>
      <c r="K157" s="1">
        <v>44993</v>
      </c>
      <c r="L157" s="11">
        <v>44998</v>
      </c>
      <c r="M157">
        <f>DATEDIF(Table1_1[[#This Row],[Order Date]],Table1_1[[#This Row],[Ship Date]],"D")</f>
        <v>5</v>
      </c>
    </row>
    <row r="158" spans="1:13" x14ac:dyDescent="0.35">
      <c r="A158" t="s">
        <v>372</v>
      </c>
      <c r="B158" t="s">
        <v>101</v>
      </c>
      <c r="C158" t="s">
        <v>105</v>
      </c>
      <c r="D158" s="2">
        <v>2379.64</v>
      </c>
      <c r="E158">
        <v>1</v>
      </c>
      <c r="F158">
        <v>0.3</v>
      </c>
      <c r="G158" t="s">
        <v>19</v>
      </c>
      <c r="H158" t="s">
        <v>21</v>
      </c>
      <c r="I158" t="s">
        <v>16</v>
      </c>
      <c r="J158" s="2">
        <f>Table1_1[[#This Row],[Sales]]-Table1_1[[#This Row],[Sales]]*Table1_1[[#This Row],[Discount]]</f>
        <v>1665.748</v>
      </c>
      <c r="K158" s="1">
        <v>44951</v>
      </c>
      <c r="L158" s="11">
        <v>44952</v>
      </c>
      <c r="M158">
        <f>DATEDIF(Table1_1[[#This Row],[Order Date]],Table1_1[[#This Row],[Ship Date]],"D")</f>
        <v>1</v>
      </c>
    </row>
    <row r="159" spans="1:13" x14ac:dyDescent="0.35">
      <c r="A159" t="s">
        <v>373</v>
      </c>
      <c r="B159" t="s">
        <v>374</v>
      </c>
      <c r="C159" t="s">
        <v>148</v>
      </c>
      <c r="D159" s="2">
        <v>1292.4100000000001</v>
      </c>
      <c r="E159">
        <v>1</v>
      </c>
      <c r="F159">
        <v>0</v>
      </c>
      <c r="G159" t="s">
        <v>19</v>
      </c>
      <c r="H159" t="s">
        <v>21</v>
      </c>
      <c r="I159" t="s">
        <v>16</v>
      </c>
      <c r="J159" s="2">
        <f>Table1_1[[#This Row],[Sales]]-Table1_1[[#This Row],[Sales]]*Table1_1[[#This Row],[Discount]]</f>
        <v>1292.4100000000001</v>
      </c>
      <c r="K159" s="1">
        <v>45208</v>
      </c>
      <c r="L159" s="11">
        <v>45209</v>
      </c>
      <c r="M159">
        <f>DATEDIF(Table1_1[[#This Row],[Order Date]],Table1_1[[#This Row],[Ship Date]],"D")</f>
        <v>1</v>
      </c>
    </row>
    <row r="160" spans="1:13" x14ac:dyDescent="0.35">
      <c r="A160" t="s">
        <v>375</v>
      </c>
      <c r="B160" t="s">
        <v>88</v>
      </c>
      <c r="C160" t="s">
        <v>376</v>
      </c>
      <c r="D160" s="2">
        <v>493.96</v>
      </c>
      <c r="E160">
        <v>6</v>
      </c>
      <c r="F160">
        <v>0</v>
      </c>
      <c r="G160" t="s">
        <v>14</v>
      </c>
      <c r="H160" t="s">
        <v>21</v>
      </c>
      <c r="I160" t="s">
        <v>43</v>
      </c>
      <c r="J160" s="2">
        <f>Table1_1[[#This Row],[Sales]]-Table1_1[[#This Row],[Sales]]*Table1_1[[#This Row],[Discount]]</f>
        <v>493.96</v>
      </c>
      <c r="K160" s="1">
        <v>44987</v>
      </c>
      <c r="L160" s="11">
        <v>44988</v>
      </c>
      <c r="M160">
        <f>DATEDIF(Table1_1[[#This Row],[Order Date]],Table1_1[[#This Row],[Ship Date]],"D")</f>
        <v>1</v>
      </c>
    </row>
    <row r="161" spans="1:13" x14ac:dyDescent="0.35">
      <c r="A161" t="s">
        <v>377</v>
      </c>
      <c r="B161" t="s">
        <v>264</v>
      </c>
      <c r="C161" t="s">
        <v>143</v>
      </c>
      <c r="D161" s="2">
        <v>3115.5</v>
      </c>
      <c r="E161">
        <v>7</v>
      </c>
      <c r="F161">
        <v>0.3</v>
      </c>
      <c r="G161" t="s">
        <v>39</v>
      </c>
      <c r="H161" t="s">
        <v>15</v>
      </c>
      <c r="I161" t="s">
        <v>16</v>
      </c>
      <c r="J161" s="2">
        <f>Table1_1[[#This Row],[Sales]]-Table1_1[[#This Row],[Sales]]*Table1_1[[#This Row],[Discount]]</f>
        <v>2180.85</v>
      </c>
      <c r="K161" s="1">
        <v>45370</v>
      </c>
      <c r="L161" s="11">
        <v>45376</v>
      </c>
      <c r="M161">
        <f>DATEDIF(Table1_1[[#This Row],[Order Date]],Table1_1[[#This Row],[Ship Date]],"D")</f>
        <v>6</v>
      </c>
    </row>
    <row r="162" spans="1:13" x14ac:dyDescent="0.35">
      <c r="A162" t="s">
        <v>378</v>
      </c>
      <c r="B162" t="s">
        <v>324</v>
      </c>
      <c r="C162" t="s">
        <v>13</v>
      </c>
      <c r="D162" s="2">
        <v>3224.95</v>
      </c>
      <c r="E162">
        <v>9</v>
      </c>
      <c r="F162">
        <v>0.2</v>
      </c>
      <c r="G162" t="s">
        <v>14</v>
      </c>
      <c r="H162" t="s">
        <v>15</v>
      </c>
      <c r="I162" t="s">
        <v>20</v>
      </c>
      <c r="J162" s="2">
        <f>Table1_1[[#This Row],[Sales]]-Table1_1[[#This Row],[Sales]]*Table1_1[[#This Row],[Discount]]</f>
        <v>2579.96</v>
      </c>
      <c r="K162" s="1">
        <v>45586</v>
      </c>
      <c r="L162" s="11">
        <v>45593</v>
      </c>
      <c r="M162">
        <f>DATEDIF(Table1_1[[#This Row],[Order Date]],Table1_1[[#This Row],[Ship Date]],"D")</f>
        <v>7</v>
      </c>
    </row>
    <row r="163" spans="1:13" x14ac:dyDescent="0.35">
      <c r="A163" t="s">
        <v>379</v>
      </c>
      <c r="B163" t="s">
        <v>380</v>
      </c>
      <c r="C163" t="s">
        <v>118</v>
      </c>
      <c r="D163" s="2">
        <v>4231</v>
      </c>
      <c r="E163">
        <v>8</v>
      </c>
      <c r="F163">
        <v>0.1</v>
      </c>
      <c r="G163" t="s">
        <v>14</v>
      </c>
      <c r="H163" t="s">
        <v>21</v>
      </c>
      <c r="I163" t="s">
        <v>16</v>
      </c>
      <c r="J163" s="2">
        <f>Table1_1[[#This Row],[Sales]]-Table1_1[[#This Row],[Sales]]*Table1_1[[#This Row],[Discount]]</f>
        <v>3807.9</v>
      </c>
      <c r="K163" s="1">
        <v>45704</v>
      </c>
      <c r="L163" s="11">
        <v>45711</v>
      </c>
      <c r="M163">
        <f>DATEDIF(Table1_1[[#This Row],[Order Date]],Table1_1[[#This Row],[Ship Date]],"D")</f>
        <v>7</v>
      </c>
    </row>
    <row r="164" spans="1:13" x14ac:dyDescent="0.35">
      <c r="A164" t="s">
        <v>381</v>
      </c>
      <c r="B164" t="s">
        <v>382</v>
      </c>
      <c r="C164" t="s">
        <v>278</v>
      </c>
      <c r="D164" s="2">
        <v>2238.71</v>
      </c>
      <c r="E164">
        <v>9</v>
      </c>
      <c r="F164">
        <v>0</v>
      </c>
      <c r="G164" t="s">
        <v>14</v>
      </c>
      <c r="H164" t="s">
        <v>21</v>
      </c>
      <c r="I164" t="s">
        <v>16</v>
      </c>
      <c r="J164" s="2">
        <f>Table1_1[[#This Row],[Sales]]-Table1_1[[#This Row],[Sales]]*Table1_1[[#This Row],[Discount]]</f>
        <v>2238.71</v>
      </c>
      <c r="K164" s="1">
        <v>45456</v>
      </c>
      <c r="L164" s="11">
        <v>45459</v>
      </c>
      <c r="M164">
        <f>DATEDIF(Table1_1[[#This Row],[Order Date]],Table1_1[[#This Row],[Ship Date]],"D")</f>
        <v>3</v>
      </c>
    </row>
    <row r="165" spans="1:13" x14ac:dyDescent="0.35">
      <c r="A165" t="s">
        <v>383</v>
      </c>
      <c r="B165" t="s">
        <v>93</v>
      </c>
      <c r="C165" t="s">
        <v>384</v>
      </c>
      <c r="D165" s="2">
        <v>609.77</v>
      </c>
      <c r="E165">
        <v>2</v>
      </c>
      <c r="F165">
        <v>0.2</v>
      </c>
      <c r="G165" t="s">
        <v>19</v>
      </c>
      <c r="H165" t="s">
        <v>15</v>
      </c>
      <c r="I165" t="s">
        <v>43</v>
      </c>
      <c r="J165" s="2">
        <f>Table1_1[[#This Row],[Sales]]-Table1_1[[#This Row],[Sales]]*Table1_1[[#This Row],[Discount]]</f>
        <v>487.81599999999997</v>
      </c>
      <c r="K165" s="1">
        <v>45128</v>
      </c>
      <c r="L165" s="11">
        <v>45133</v>
      </c>
      <c r="M165">
        <f>DATEDIF(Table1_1[[#This Row],[Order Date]],Table1_1[[#This Row],[Ship Date]],"D")</f>
        <v>5</v>
      </c>
    </row>
    <row r="166" spans="1:13" x14ac:dyDescent="0.35">
      <c r="A166" t="s">
        <v>385</v>
      </c>
      <c r="B166" t="s">
        <v>284</v>
      </c>
      <c r="C166" t="s">
        <v>42</v>
      </c>
      <c r="D166" s="2">
        <v>140.22</v>
      </c>
      <c r="E166">
        <v>2</v>
      </c>
      <c r="F166">
        <v>0.1</v>
      </c>
      <c r="G166" t="s">
        <v>14</v>
      </c>
      <c r="H166" t="s">
        <v>15</v>
      </c>
      <c r="I166" t="s">
        <v>16</v>
      </c>
      <c r="J166" s="2">
        <f>Table1_1[[#This Row],[Sales]]-Table1_1[[#This Row],[Sales]]*Table1_1[[#This Row],[Discount]]</f>
        <v>126.19799999999999</v>
      </c>
      <c r="K166" s="1">
        <v>45104</v>
      </c>
      <c r="L166" s="11">
        <v>45109</v>
      </c>
      <c r="M166">
        <f>DATEDIF(Table1_1[[#This Row],[Order Date]],Table1_1[[#This Row],[Ship Date]],"D")</f>
        <v>5</v>
      </c>
    </row>
    <row r="167" spans="1:13" x14ac:dyDescent="0.35">
      <c r="A167" t="s">
        <v>386</v>
      </c>
      <c r="B167" t="s">
        <v>387</v>
      </c>
      <c r="C167" t="s">
        <v>388</v>
      </c>
      <c r="D167" s="2">
        <v>4846.49</v>
      </c>
      <c r="E167">
        <v>5</v>
      </c>
      <c r="F167">
        <v>0.1</v>
      </c>
      <c r="G167" t="s">
        <v>14</v>
      </c>
      <c r="H167" t="s">
        <v>15</v>
      </c>
      <c r="I167" t="s">
        <v>20</v>
      </c>
      <c r="J167" s="2">
        <f>Table1_1[[#This Row],[Sales]]-Table1_1[[#This Row],[Sales]]*Table1_1[[#This Row],[Discount]]</f>
        <v>4361.8409999999994</v>
      </c>
      <c r="K167" s="1">
        <v>45689</v>
      </c>
      <c r="L167" s="11">
        <v>45692</v>
      </c>
      <c r="M167">
        <f>DATEDIF(Table1_1[[#This Row],[Order Date]],Table1_1[[#This Row],[Ship Date]],"D")</f>
        <v>3</v>
      </c>
    </row>
    <row r="168" spans="1:13" x14ac:dyDescent="0.35">
      <c r="A168" t="s">
        <v>389</v>
      </c>
      <c r="B168" t="s">
        <v>225</v>
      </c>
      <c r="C168" t="s">
        <v>293</v>
      </c>
      <c r="D168" s="2">
        <v>1853.42</v>
      </c>
      <c r="E168">
        <v>8</v>
      </c>
      <c r="F168">
        <v>0.3</v>
      </c>
      <c r="G168" t="s">
        <v>39</v>
      </c>
      <c r="H168" t="s">
        <v>15</v>
      </c>
      <c r="I168" t="s">
        <v>16</v>
      </c>
      <c r="J168" s="2">
        <f>Table1_1[[#This Row],[Sales]]-Table1_1[[#This Row],[Sales]]*Table1_1[[#This Row],[Discount]]</f>
        <v>1297.3940000000002</v>
      </c>
      <c r="K168" s="1">
        <v>45225</v>
      </c>
      <c r="L168" s="11">
        <v>45231</v>
      </c>
      <c r="M168">
        <f>DATEDIF(Table1_1[[#This Row],[Order Date]],Table1_1[[#This Row],[Ship Date]],"D")</f>
        <v>6</v>
      </c>
    </row>
    <row r="169" spans="1:13" x14ac:dyDescent="0.35">
      <c r="A169" t="s">
        <v>390</v>
      </c>
      <c r="B169" t="s">
        <v>391</v>
      </c>
      <c r="C169" t="s">
        <v>77</v>
      </c>
      <c r="D169" s="2">
        <v>2136.75</v>
      </c>
      <c r="E169">
        <v>6</v>
      </c>
      <c r="F169">
        <v>0.2</v>
      </c>
      <c r="G169" t="s">
        <v>14</v>
      </c>
      <c r="H169" t="s">
        <v>21</v>
      </c>
      <c r="I169" t="s">
        <v>20</v>
      </c>
      <c r="J169" s="2">
        <f>Table1_1[[#This Row],[Sales]]-Table1_1[[#This Row],[Sales]]*Table1_1[[#This Row],[Discount]]</f>
        <v>1709.4</v>
      </c>
      <c r="K169" s="1">
        <v>45057</v>
      </c>
      <c r="L169" s="11">
        <v>45058</v>
      </c>
      <c r="M169">
        <f>DATEDIF(Table1_1[[#This Row],[Order Date]],Table1_1[[#This Row],[Ship Date]],"D")</f>
        <v>1</v>
      </c>
    </row>
    <row r="170" spans="1:13" x14ac:dyDescent="0.35">
      <c r="A170" t="s">
        <v>392</v>
      </c>
      <c r="B170" t="s">
        <v>322</v>
      </c>
      <c r="C170" t="s">
        <v>229</v>
      </c>
      <c r="D170" s="2">
        <v>2823.64</v>
      </c>
      <c r="E170">
        <v>2</v>
      </c>
      <c r="F170">
        <v>0</v>
      </c>
      <c r="G170" t="s">
        <v>14</v>
      </c>
      <c r="H170" t="s">
        <v>21</v>
      </c>
      <c r="I170" t="s">
        <v>43</v>
      </c>
      <c r="J170" s="2">
        <f>Table1_1[[#This Row],[Sales]]-Table1_1[[#This Row],[Sales]]*Table1_1[[#This Row],[Discount]]</f>
        <v>2823.64</v>
      </c>
      <c r="K170" s="1">
        <v>45194</v>
      </c>
      <c r="L170" s="11">
        <v>45201</v>
      </c>
      <c r="M170">
        <f>DATEDIF(Table1_1[[#This Row],[Order Date]],Table1_1[[#This Row],[Ship Date]],"D")</f>
        <v>7</v>
      </c>
    </row>
    <row r="171" spans="1:13" x14ac:dyDescent="0.35">
      <c r="A171" t="s">
        <v>393</v>
      </c>
      <c r="B171" t="s">
        <v>394</v>
      </c>
      <c r="C171" t="s">
        <v>223</v>
      </c>
      <c r="D171" s="2">
        <v>2727.86</v>
      </c>
      <c r="E171">
        <v>8</v>
      </c>
      <c r="F171">
        <v>0.2</v>
      </c>
      <c r="G171" t="s">
        <v>19</v>
      </c>
      <c r="H171" t="s">
        <v>21</v>
      </c>
      <c r="I171" t="s">
        <v>43</v>
      </c>
      <c r="J171" s="2">
        <f>Table1_1[[#This Row],[Sales]]-Table1_1[[#This Row],[Sales]]*Table1_1[[#This Row],[Discount]]</f>
        <v>2182.288</v>
      </c>
      <c r="K171" s="1">
        <v>45802</v>
      </c>
      <c r="L171" s="11">
        <v>45804</v>
      </c>
      <c r="M171">
        <f>DATEDIF(Table1_1[[#This Row],[Order Date]],Table1_1[[#This Row],[Ship Date]],"D")</f>
        <v>2</v>
      </c>
    </row>
    <row r="172" spans="1:13" x14ac:dyDescent="0.35">
      <c r="A172" t="s">
        <v>395</v>
      </c>
      <c r="B172" t="s">
        <v>396</v>
      </c>
      <c r="C172" t="s">
        <v>341</v>
      </c>
      <c r="D172" s="2">
        <v>3266.47</v>
      </c>
      <c r="E172">
        <v>8</v>
      </c>
      <c r="F172">
        <v>0.3</v>
      </c>
      <c r="G172" t="s">
        <v>14</v>
      </c>
      <c r="H172" t="s">
        <v>15</v>
      </c>
      <c r="I172" t="s">
        <v>16</v>
      </c>
      <c r="J172" s="2">
        <f>Table1_1[[#This Row],[Sales]]-Table1_1[[#This Row],[Sales]]*Table1_1[[#This Row],[Discount]]</f>
        <v>2286.529</v>
      </c>
      <c r="K172" s="1">
        <v>45235</v>
      </c>
      <c r="L172" s="11">
        <v>45239</v>
      </c>
      <c r="M172">
        <f>DATEDIF(Table1_1[[#This Row],[Order Date]],Table1_1[[#This Row],[Ship Date]],"D")</f>
        <v>4</v>
      </c>
    </row>
    <row r="173" spans="1:13" x14ac:dyDescent="0.35">
      <c r="A173" t="s">
        <v>397</v>
      </c>
      <c r="B173" t="s">
        <v>270</v>
      </c>
      <c r="C173" t="s">
        <v>243</v>
      </c>
      <c r="D173" s="2">
        <v>3027.06</v>
      </c>
      <c r="E173">
        <v>8</v>
      </c>
      <c r="F173">
        <v>0</v>
      </c>
      <c r="G173" t="s">
        <v>14</v>
      </c>
      <c r="H173" t="s">
        <v>15</v>
      </c>
      <c r="I173" t="s">
        <v>20</v>
      </c>
      <c r="J173" s="2">
        <f>Table1_1[[#This Row],[Sales]]-Table1_1[[#This Row],[Sales]]*Table1_1[[#This Row],[Discount]]</f>
        <v>3027.06</v>
      </c>
      <c r="K173" s="1">
        <v>44930</v>
      </c>
      <c r="L173" s="11">
        <v>44936</v>
      </c>
      <c r="M173">
        <f>DATEDIF(Table1_1[[#This Row],[Order Date]],Table1_1[[#This Row],[Ship Date]],"D")</f>
        <v>6</v>
      </c>
    </row>
    <row r="174" spans="1:13" x14ac:dyDescent="0.35">
      <c r="A174" t="s">
        <v>398</v>
      </c>
      <c r="B174" t="s">
        <v>59</v>
      </c>
      <c r="C174" t="s">
        <v>265</v>
      </c>
      <c r="D174" s="2">
        <v>2464.94</v>
      </c>
      <c r="E174">
        <v>3</v>
      </c>
      <c r="F174">
        <v>0.1</v>
      </c>
      <c r="G174" t="s">
        <v>14</v>
      </c>
      <c r="H174" t="s">
        <v>21</v>
      </c>
      <c r="I174" t="s">
        <v>43</v>
      </c>
      <c r="J174" s="2">
        <f>Table1_1[[#This Row],[Sales]]-Table1_1[[#This Row],[Sales]]*Table1_1[[#This Row],[Discount]]</f>
        <v>2218.4459999999999</v>
      </c>
      <c r="K174" s="1">
        <v>45668</v>
      </c>
      <c r="L174" s="11">
        <v>45673</v>
      </c>
      <c r="M174">
        <f>DATEDIF(Table1_1[[#This Row],[Order Date]],Table1_1[[#This Row],[Ship Date]],"D")</f>
        <v>5</v>
      </c>
    </row>
    <row r="175" spans="1:13" x14ac:dyDescent="0.35">
      <c r="A175" t="s">
        <v>399</v>
      </c>
      <c r="B175" t="s">
        <v>322</v>
      </c>
      <c r="C175" t="s">
        <v>178</v>
      </c>
      <c r="D175" s="2">
        <v>4073.15</v>
      </c>
      <c r="E175">
        <v>2</v>
      </c>
      <c r="F175">
        <v>0.2</v>
      </c>
      <c r="G175" t="s">
        <v>14</v>
      </c>
      <c r="H175" t="s">
        <v>21</v>
      </c>
      <c r="I175" t="s">
        <v>16</v>
      </c>
      <c r="J175" s="2">
        <f>Table1_1[[#This Row],[Sales]]-Table1_1[[#This Row],[Sales]]*Table1_1[[#This Row],[Discount]]</f>
        <v>3258.52</v>
      </c>
      <c r="K175" s="1">
        <v>45496</v>
      </c>
      <c r="L175" s="11">
        <v>45501</v>
      </c>
      <c r="M175">
        <f>DATEDIF(Table1_1[[#This Row],[Order Date]],Table1_1[[#This Row],[Ship Date]],"D")</f>
        <v>5</v>
      </c>
    </row>
    <row r="176" spans="1:13" x14ac:dyDescent="0.35">
      <c r="A176" t="s">
        <v>400</v>
      </c>
      <c r="B176" t="s">
        <v>201</v>
      </c>
      <c r="C176" t="s">
        <v>357</v>
      </c>
      <c r="D176" s="2">
        <v>3558.48</v>
      </c>
      <c r="E176">
        <v>1</v>
      </c>
      <c r="F176">
        <v>0.1</v>
      </c>
      <c r="G176" t="s">
        <v>19</v>
      </c>
      <c r="H176" t="s">
        <v>21</v>
      </c>
      <c r="I176" t="s">
        <v>16</v>
      </c>
      <c r="J176" s="2">
        <f>Table1_1[[#This Row],[Sales]]-Table1_1[[#This Row],[Sales]]*Table1_1[[#This Row],[Discount]]</f>
        <v>3202.6320000000001</v>
      </c>
      <c r="K176" s="1">
        <v>45822</v>
      </c>
      <c r="L176" s="11">
        <v>45826</v>
      </c>
      <c r="M176">
        <f>DATEDIF(Table1_1[[#This Row],[Order Date]],Table1_1[[#This Row],[Ship Date]],"D")</f>
        <v>4</v>
      </c>
    </row>
    <row r="177" spans="1:13" x14ac:dyDescent="0.35">
      <c r="A177" t="s">
        <v>401</v>
      </c>
      <c r="B177" t="s">
        <v>402</v>
      </c>
      <c r="C177" t="s">
        <v>259</v>
      </c>
      <c r="D177" s="2">
        <v>3664.54</v>
      </c>
      <c r="E177">
        <v>9</v>
      </c>
      <c r="F177">
        <v>0</v>
      </c>
      <c r="G177" t="s">
        <v>14</v>
      </c>
      <c r="H177" t="s">
        <v>21</v>
      </c>
      <c r="I177" t="s">
        <v>16</v>
      </c>
      <c r="J177" s="2">
        <f>Table1_1[[#This Row],[Sales]]-Table1_1[[#This Row],[Sales]]*Table1_1[[#This Row],[Discount]]</f>
        <v>3664.54</v>
      </c>
      <c r="K177" s="1">
        <v>45364</v>
      </c>
      <c r="L177" s="11">
        <v>45370</v>
      </c>
      <c r="M177">
        <f>DATEDIF(Table1_1[[#This Row],[Order Date]],Table1_1[[#This Row],[Ship Date]],"D")</f>
        <v>6</v>
      </c>
    </row>
    <row r="178" spans="1:13" x14ac:dyDescent="0.35">
      <c r="A178" t="s">
        <v>403</v>
      </c>
      <c r="B178" t="s">
        <v>79</v>
      </c>
      <c r="C178" t="s">
        <v>254</v>
      </c>
      <c r="D178" s="2">
        <v>2119.2399999999998</v>
      </c>
      <c r="E178">
        <v>2</v>
      </c>
      <c r="F178">
        <v>0.2</v>
      </c>
      <c r="G178" t="s">
        <v>39</v>
      </c>
      <c r="H178" t="s">
        <v>15</v>
      </c>
      <c r="I178" t="s">
        <v>16</v>
      </c>
      <c r="J178" s="2">
        <f>Table1_1[[#This Row],[Sales]]-Table1_1[[#This Row],[Sales]]*Table1_1[[#This Row],[Discount]]</f>
        <v>1695.3919999999998</v>
      </c>
      <c r="K178" s="1">
        <v>45000</v>
      </c>
      <c r="L178" s="11">
        <v>45007</v>
      </c>
      <c r="M178">
        <f>DATEDIF(Table1_1[[#This Row],[Order Date]],Table1_1[[#This Row],[Ship Date]],"D")</f>
        <v>7</v>
      </c>
    </row>
    <row r="179" spans="1:13" x14ac:dyDescent="0.35">
      <c r="A179" t="s">
        <v>404</v>
      </c>
      <c r="B179" t="s">
        <v>196</v>
      </c>
      <c r="C179" t="s">
        <v>226</v>
      </c>
      <c r="D179" s="2">
        <v>1582.63</v>
      </c>
      <c r="E179">
        <v>9</v>
      </c>
      <c r="F179">
        <v>0</v>
      </c>
      <c r="G179" t="s">
        <v>19</v>
      </c>
      <c r="H179" t="s">
        <v>15</v>
      </c>
      <c r="I179" t="s">
        <v>43</v>
      </c>
      <c r="J179" s="2">
        <f>Table1_1[[#This Row],[Sales]]-Table1_1[[#This Row],[Sales]]*Table1_1[[#This Row],[Discount]]</f>
        <v>1582.63</v>
      </c>
      <c r="K179" s="1">
        <v>45089</v>
      </c>
      <c r="L179" s="11">
        <v>45093</v>
      </c>
      <c r="M179">
        <f>DATEDIF(Table1_1[[#This Row],[Order Date]],Table1_1[[#This Row],[Ship Date]],"D")</f>
        <v>4</v>
      </c>
    </row>
    <row r="180" spans="1:13" x14ac:dyDescent="0.35">
      <c r="A180" t="s">
        <v>405</v>
      </c>
      <c r="B180" t="s">
        <v>277</v>
      </c>
      <c r="C180" t="s">
        <v>62</v>
      </c>
      <c r="D180" s="2">
        <v>4094.32</v>
      </c>
      <c r="E180">
        <v>5</v>
      </c>
      <c r="F180">
        <v>0.3</v>
      </c>
      <c r="G180" t="s">
        <v>14</v>
      </c>
      <c r="H180" t="s">
        <v>15</v>
      </c>
      <c r="I180" t="s">
        <v>20</v>
      </c>
      <c r="J180" s="2">
        <f>Table1_1[[#This Row],[Sales]]-Table1_1[[#This Row],[Sales]]*Table1_1[[#This Row],[Discount]]</f>
        <v>2866.0240000000003</v>
      </c>
      <c r="K180" s="1">
        <v>45299</v>
      </c>
      <c r="L180" s="11">
        <v>45300</v>
      </c>
      <c r="M180">
        <f>DATEDIF(Table1_1[[#This Row],[Order Date]],Table1_1[[#This Row],[Ship Date]],"D")</f>
        <v>1</v>
      </c>
    </row>
    <row r="181" spans="1:13" x14ac:dyDescent="0.35">
      <c r="A181" t="s">
        <v>406</v>
      </c>
      <c r="B181" t="s">
        <v>407</v>
      </c>
      <c r="C181" t="s">
        <v>408</v>
      </c>
      <c r="D181" s="2">
        <v>1460.95</v>
      </c>
      <c r="E181">
        <v>1</v>
      </c>
      <c r="F181">
        <v>0.1</v>
      </c>
      <c r="G181" t="s">
        <v>39</v>
      </c>
      <c r="H181" t="s">
        <v>21</v>
      </c>
      <c r="I181" t="s">
        <v>20</v>
      </c>
      <c r="J181" s="2">
        <f>Table1_1[[#This Row],[Sales]]-Table1_1[[#This Row],[Sales]]*Table1_1[[#This Row],[Discount]]</f>
        <v>1314.855</v>
      </c>
      <c r="K181" s="1">
        <v>45398</v>
      </c>
      <c r="L181" s="11">
        <v>45402</v>
      </c>
      <c r="M181">
        <f>DATEDIF(Table1_1[[#This Row],[Order Date]],Table1_1[[#This Row],[Ship Date]],"D")</f>
        <v>4</v>
      </c>
    </row>
    <row r="182" spans="1:13" x14ac:dyDescent="0.35">
      <c r="A182" t="s">
        <v>409</v>
      </c>
      <c r="B182" t="s">
        <v>410</v>
      </c>
      <c r="C182" t="s">
        <v>211</v>
      </c>
      <c r="D182" s="2">
        <v>4040.41</v>
      </c>
      <c r="E182">
        <v>3</v>
      </c>
      <c r="F182">
        <v>0.1</v>
      </c>
      <c r="G182" t="s">
        <v>14</v>
      </c>
      <c r="H182" t="s">
        <v>15</v>
      </c>
      <c r="I182" t="s">
        <v>16</v>
      </c>
      <c r="J182" s="2">
        <f>Table1_1[[#This Row],[Sales]]-Table1_1[[#This Row],[Sales]]*Table1_1[[#This Row],[Discount]]</f>
        <v>3636.3689999999997</v>
      </c>
      <c r="K182" s="1">
        <v>45040</v>
      </c>
      <c r="L182" s="11">
        <v>45041</v>
      </c>
      <c r="M182">
        <f>DATEDIF(Table1_1[[#This Row],[Order Date]],Table1_1[[#This Row],[Ship Date]],"D")</f>
        <v>1</v>
      </c>
    </row>
    <row r="183" spans="1:13" x14ac:dyDescent="0.35">
      <c r="A183" t="s">
        <v>411</v>
      </c>
      <c r="B183" t="s">
        <v>120</v>
      </c>
      <c r="C183" t="s">
        <v>376</v>
      </c>
      <c r="D183" s="2">
        <v>4792.58</v>
      </c>
      <c r="E183">
        <v>4</v>
      </c>
      <c r="F183">
        <v>0.2</v>
      </c>
      <c r="G183" t="s">
        <v>14</v>
      </c>
      <c r="H183" t="s">
        <v>15</v>
      </c>
      <c r="I183" t="s">
        <v>20</v>
      </c>
      <c r="J183" s="2">
        <f>Table1_1[[#This Row],[Sales]]-Table1_1[[#This Row],[Sales]]*Table1_1[[#This Row],[Discount]]</f>
        <v>3834.0639999999999</v>
      </c>
      <c r="K183" s="1">
        <v>44951</v>
      </c>
      <c r="L183" s="11">
        <v>44956</v>
      </c>
      <c r="M183">
        <f>DATEDIF(Table1_1[[#This Row],[Order Date]],Table1_1[[#This Row],[Ship Date]],"D")</f>
        <v>5</v>
      </c>
    </row>
    <row r="184" spans="1:13" x14ac:dyDescent="0.35">
      <c r="A184" t="s">
        <v>412</v>
      </c>
      <c r="B184" t="s">
        <v>306</v>
      </c>
      <c r="C184" t="s">
        <v>163</v>
      </c>
      <c r="D184" s="2">
        <v>4255.75</v>
      </c>
      <c r="E184">
        <v>3</v>
      </c>
      <c r="F184">
        <v>0.2</v>
      </c>
      <c r="G184" t="s">
        <v>19</v>
      </c>
      <c r="H184" t="s">
        <v>15</v>
      </c>
      <c r="I184" t="s">
        <v>16</v>
      </c>
      <c r="J184" s="2">
        <f>Table1_1[[#This Row],[Sales]]-Table1_1[[#This Row],[Sales]]*Table1_1[[#This Row],[Discount]]</f>
        <v>3404.6</v>
      </c>
      <c r="K184" s="1">
        <v>45169</v>
      </c>
      <c r="L184" s="11">
        <v>45176</v>
      </c>
      <c r="M184">
        <f>DATEDIF(Table1_1[[#This Row],[Order Date]],Table1_1[[#This Row],[Ship Date]],"D")</f>
        <v>7</v>
      </c>
    </row>
    <row r="185" spans="1:13" x14ac:dyDescent="0.35">
      <c r="A185" t="s">
        <v>413</v>
      </c>
      <c r="B185" t="s">
        <v>414</v>
      </c>
      <c r="C185" t="s">
        <v>108</v>
      </c>
      <c r="D185" s="2">
        <v>3706.22</v>
      </c>
      <c r="E185">
        <v>1</v>
      </c>
      <c r="F185">
        <v>0.3</v>
      </c>
      <c r="G185" t="s">
        <v>39</v>
      </c>
      <c r="H185" t="s">
        <v>21</v>
      </c>
      <c r="I185" t="s">
        <v>16</v>
      </c>
      <c r="J185" s="2">
        <f>Table1_1[[#This Row],[Sales]]-Table1_1[[#This Row],[Sales]]*Table1_1[[#This Row],[Discount]]</f>
        <v>2594.3539999999998</v>
      </c>
      <c r="K185" s="1">
        <v>45350</v>
      </c>
      <c r="L185" s="11">
        <v>45356</v>
      </c>
      <c r="M185">
        <f>DATEDIF(Table1_1[[#This Row],[Order Date]],Table1_1[[#This Row],[Ship Date]],"D")</f>
        <v>6</v>
      </c>
    </row>
    <row r="186" spans="1:13" x14ac:dyDescent="0.35">
      <c r="A186" t="s">
        <v>415</v>
      </c>
      <c r="B186" t="s">
        <v>70</v>
      </c>
      <c r="C186" t="s">
        <v>65</v>
      </c>
      <c r="D186" s="2">
        <v>990.82</v>
      </c>
      <c r="E186">
        <v>10</v>
      </c>
      <c r="F186">
        <v>0.1</v>
      </c>
      <c r="G186" t="s">
        <v>14</v>
      </c>
      <c r="H186" t="s">
        <v>21</v>
      </c>
      <c r="I186" t="s">
        <v>43</v>
      </c>
      <c r="J186" s="2">
        <f>Table1_1[[#This Row],[Sales]]-Table1_1[[#This Row],[Sales]]*Table1_1[[#This Row],[Discount]]</f>
        <v>891.73800000000006</v>
      </c>
      <c r="K186" s="1">
        <v>45466</v>
      </c>
      <c r="L186" s="11">
        <v>45468</v>
      </c>
      <c r="M186">
        <f>DATEDIF(Table1_1[[#This Row],[Order Date]],Table1_1[[#This Row],[Ship Date]],"D")</f>
        <v>2</v>
      </c>
    </row>
    <row r="187" spans="1:13" x14ac:dyDescent="0.35">
      <c r="A187" t="s">
        <v>416</v>
      </c>
      <c r="B187" t="s">
        <v>219</v>
      </c>
      <c r="C187" t="s">
        <v>175</v>
      </c>
      <c r="D187" s="2">
        <v>1217.8</v>
      </c>
      <c r="E187">
        <v>4</v>
      </c>
      <c r="F187">
        <v>0.2</v>
      </c>
      <c r="G187" t="s">
        <v>14</v>
      </c>
      <c r="H187" t="s">
        <v>15</v>
      </c>
      <c r="I187" t="s">
        <v>20</v>
      </c>
      <c r="J187" s="2">
        <f>Table1_1[[#This Row],[Sales]]-Table1_1[[#This Row],[Sales]]*Table1_1[[#This Row],[Discount]]</f>
        <v>974.24</v>
      </c>
      <c r="K187" s="1">
        <v>45807</v>
      </c>
      <c r="L187" s="11">
        <v>45814</v>
      </c>
      <c r="M187">
        <f>DATEDIF(Table1_1[[#This Row],[Order Date]],Table1_1[[#This Row],[Ship Date]],"D")</f>
        <v>7</v>
      </c>
    </row>
    <row r="188" spans="1:13" x14ac:dyDescent="0.35">
      <c r="A188" t="s">
        <v>417</v>
      </c>
      <c r="B188" t="s">
        <v>418</v>
      </c>
      <c r="C188" t="s">
        <v>240</v>
      </c>
      <c r="D188" s="2">
        <v>346.43</v>
      </c>
      <c r="E188">
        <v>5</v>
      </c>
      <c r="F188">
        <v>0.1</v>
      </c>
      <c r="G188" t="s">
        <v>14</v>
      </c>
      <c r="H188" t="s">
        <v>21</v>
      </c>
      <c r="I188" t="s">
        <v>43</v>
      </c>
      <c r="J188" s="2">
        <f>Table1_1[[#This Row],[Sales]]-Table1_1[[#This Row],[Sales]]*Table1_1[[#This Row],[Discount]]</f>
        <v>311.78700000000003</v>
      </c>
      <c r="K188" s="1">
        <v>45013</v>
      </c>
      <c r="L188" s="11">
        <v>45019</v>
      </c>
      <c r="M188">
        <f>DATEDIF(Table1_1[[#This Row],[Order Date]],Table1_1[[#This Row],[Ship Date]],"D")</f>
        <v>6</v>
      </c>
    </row>
    <row r="189" spans="1:13" x14ac:dyDescent="0.35">
      <c r="A189" t="s">
        <v>419</v>
      </c>
      <c r="B189" t="s">
        <v>420</v>
      </c>
      <c r="C189" t="s">
        <v>146</v>
      </c>
      <c r="D189" s="2">
        <v>225.51</v>
      </c>
      <c r="E189">
        <v>9</v>
      </c>
      <c r="F189">
        <v>0</v>
      </c>
      <c r="G189" t="s">
        <v>19</v>
      </c>
      <c r="H189" t="s">
        <v>21</v>
      </c>
      <c r="I189" t="s">
        <v>20</v>
      </c>
      <c r="J189" s="2">
        <f>Table1_1[[#This Row],[Sales]]-Table1_1[[#This Row],[Sales]]*Table1_1[[#This Row],[Discount]]</f>
        <v>225.51</v>
      </c>
      <c r="K189" s="1">
        <v>45146</v>
      </c>
      <c r="L189" s="11">
        <v>45147</v>
      </c>
      <c r="M189">
        <f>DATEDIF(Table1_1[[#This Row],[Order Date]],Table1_1[[#This Row],[Ship Date]],"D")</f>
        <v>1</v>
      </c>
    </row>
    <row r="190" spans="1:13" x14ac:dyDescent="0.35">
      <c r="A190" t="s">
        <v>421</v>
      </c>
      <c r="B190" t="s">
        <v>422</v>
      </c>
      <c r="C190" t="s">
        <v>240</v>
      </c>
      <c r="D190" s="2">
        <v>2969</v>
      </c>
      <c r="E190">
        <v>8</v>
      </c>
      <c r="F190">
        <v>0.1</v>
      </c>
      <c r="G190" t="s">
        <v>19</v>
      </c>
      <c r="H190" t="s">
        <v>15</v>
      </c>
      <c r="I190" t="s">
        <v>20</v>
      </c>
      <c r="J190" s="2">
        <f>Table1_1[[#This Row],[Sales]]-Table1_1[[#This Row],[Sales]]*Table1_1[[#This Row],[Discount]]</f>
        <v>2672.1</v>
      </c>
      <c r="K190" s="1">
        <v>45732</v>
      </c>
      <c r="L190" s="11">
        <v>45737</v>
      </c>
      <c r="M190">
        <f>DATEDIF(Table1_1[[#This Row],[Order Date]],Table1_1[[#This Row],[Ship Date]],"D")</f>
        <v>5</v>
      </c>
    </row>
    <row r="191" spans="1:13" x14ac:dyDescent="0.35">
      <c r="A191" t="s">
        <v>423</v>
      </c>
      <c r="B191" t="s">
        <v>424</v>
      </c>
      <c r="C191" t="s">
        <v>128</v>
      </c>
      <c r="D191" s="2">
        <v>777.93</v>
      </c>
      <c r="E191">
        <v>7</v>
      </c>
      <c r="F191">
        <v>0.1</v>
      </c>
      <c r="G191" t="s">
        <v>39</v>
      </c>
      <c r="H191" t="s">
        <v>21</v>
      </c>
      <c r="I191" t="s">
        <v>43</v>
      </c>
      <c r="J191" s="2">
        <f>Table1_1[[#This Row],[Sales]]-Table1_1[[#This Row],[Sales]]*Table1_1[[#This Row],[Discount]]</f>
        <v>700.13699999999994</v>
      </c>
      <c r="K191" s="1">
        <v>45013</v>
      </c>
      <c r="L191" s="11">
        <v>45020</v>
      </c>
      <c r="M191">
        <f>DATEDIF(Table1_1[[#This Row],[Order Date]],Table1_1[[#This Row],[Ship Date]],"D")</f>
        <v>7</v>
      </c>
    </row>
    <row r="192" spans="1:13" x14ac:dyDescent="0.35">
      <c r="A192" t="s">
        <v>425</v>
      </c>
      <c r="B192" t="s">
        <v>426</v>
      </c>
      <c r="C192" t="s">
        <v>240</v>
      </c>
      <c r="D192" s="2">
        <v>4520.0600000000004</v>
      </c>
      <c r="E192">
        <v>5</v>
      </c>
      <c r="F192">
        <v>0</v>
      </c>
      <c r="G192" t="s">
        <v>19</v>
      </c>
      <c r="H192" t="s">
        <v>15</v>
      </c>
      <c r="I192" t="s">
        <v>16</v>
      </c>
      <c r="J192" s="2">
        <f>Table1_1[[#This Row],[Sales]]-Table1_1[[#This Row],[Sales]]*Table1_1[[#This Row],[Discount]]</f>
        <v>4520.0600000000004</v>
      </c>
      <c r="K192" s="1">
        <v>45412</v>
      </c>
      <c r="L192" s="11">
        <v>45419</v>
      </c>
      <c r="M192">
        <f>DATEDIF(Table1_1[[#This Row],[Order Date]],Table1_1[[#This Row],[Ship Date]],"D")</f>
        <v>7</v>
      </c>
    </row>
    <row r="193" spans="1:13" x14ac:dyDescent="0.35">
      <c r="A193" t="s">
        <v>427</v>
      </c>
      <c r="B193" t="s">
        <v>219</v>
      </c>
      <c r="C193" t="s">
        <v>262</v>
      </c>
      <c r="D193" s="2">
        <v>3342.94</v>
      </c>
      <c r="E193">
        <v>10</v>
      </c>
      <c r="F193">
        <v>0.2</v>
      </c>
      <c r="G193" t="s">
        <v>14</v>
      </c>
      <c r="H193" t="s">
        <v>21</v>
      </c>
      <c r="I193" t="s">
        <v>20</v>
      </c>
      <c r="J193" s="2">
        <f>Table1_1[[#This Row],[Sales]]-Table1_1[[#This Row],[Sales]]*Table1_1[[#This Row],[Discount]]</f>
        <v>2674.3519999999999</v>
      </c>
      <c r="K193" s="1">
        <v>44934</v>
      </c>
      <c r="L193" s="11">
        <v>44939</v>
      </c>
      <c r="M193">
        <f>DATEDIF(Table1_1[[#This Row],[Order Date]],Table1_1[[#This Row],[Ship Date]],"D")</f>
        <v>5</v>
      </c>
    </row>
    <row r="194" spans="1:13" x14ac:dyDescent="0.35">
      <c r="A194" t="s">
        <v>428</v>
      </c>
      <c r="B194" t="s">
        <v>429</v>
      </c>
      <c r="C194" t="s">
        <v>231</v>
      </c>
      <c r="D194" s="2">
        <v>2203.27</v>
      </c>
      <c r="E194">
        <v>3</v>
      </c>
      <c r="F194">
        <v>0.3</v>
      </c>
      <c r="G194" t="s">
        <v>39</v>
      </c>
      <c r="H194" t="s">
        <v>15</v>
      </c>
      <c r="I194" t="s">
        <v>20</v>
      </c>
      <c r="J194" s="2">
        <f>Table1_1[[#This Row],[Sales]]-Table1_1[[#This Row],[Sales]]*Table1_1[[#This Row],[Discount]]</f>
        <v>1542.289</v>
      </c>
      <c r="K194" s="1">
        <v>45304</v>
      </c>
      <c r="L194" s="11">
        <v>45309</v>
      </c>
      <c r="M194">
        <f>DATEDIF(Table1_1[[#This Row],[Order Date]],Table1_1[[#This Row],[Ship Date]],"D")</f>
        <v>5</v>
      </c>
    </row>
    <row r="195" spans="1:13" x14ac:dyDescent="0.35">
      <c r="A195" t="s">
        <v>430</v>
      </c>
      <c r="B195" t="s">
        <v>431</v>
      </c>
      <c r="C195" t="s">
        <v>190</v>
      </c>
      <c r="D195" s="2">
        <v>3573.87</v>
      </c>
      <c r="E195">
        <v>4</v>
      </c>
      <c r="F195">
        <v>0.2</v>
      </c>
      <c r="G195" t="s">
        <v>14</v>
      </c>
      <c r="H195" t="s">
        <v>21</v>
      </c>
      <c r="I195" t="s">
        <v>43</v>
      </c>
      <c r="J195" s="2">
        <f>Table1_1[[#This Row],[Sales]]-Table1_1[[#This Row],[Sales]]*Table1_1[[#This Row],[Discount]]</f>
        <v>2859.096</v>
      </c>
      <c r="K195" s="1">
        <v>44934</v>
      </c>
      <c r="L195" s="11">
        <v>44938</v>
      </c>
      <c r="M195">
        <f>DATEDIF(Table1_1[[#This Row],[Order Date]],Table1_1[[#This Row],[Ship Date]],"D")</f>
        <v>4</v>
      </c>
    </row>
    <row r="196" spans="1:13" x14ac:dyDescent="0.35">
      <c r="A196" t="s">
        <v>432</v>
      </c>
      <c r="B196" t="s">
        <v>115</v>
      </c>
      <c r="C196" t="s">
        <v>125</v>
      </c>
      <c r="D196" s="2">
        <v>1301.56</v>
      </c>
      <c r="E196">
        <v>6</v>
      </c>
      <c r="F196">
        <v>0.2</v>
      </c>
      <c r="G196" t="s">
        <v>14</v>
      </c>
      <c r="H196" t="s">
        <v>15</v>
      </c>
      <c r="I196" t="s">
        <v>43</v>
      </c>
      <c r="J196" s="2">
        <f>Table1_1[[#This Row],[Sales]]-Table1_1[[#This Row],[Sales]]*Table1_1[[#This Row],[Discount]]</f>
        <v>1041.248</v>
      </c>
      <c r="K196" s="1">
        <v>45554</v>
      </c>
      <c r="L196" s="11">
        <v>45559</v>
      </c>
      <c r="M196">
        <f>DATEDIF(Table1_1[[#This Row],[Order Date]],Table1_1[[#This Row],[Ship Date]],"D")</f>
        <v>5</v>
      </c>
    </row>
    <row r="197" spans="1:13" x14ac:dyDescent="0.35">
      <c r="A197" t="s">
        <v>433</v>
      </c>
      <c r="B197" t="s">
        <v>434</v>
      </c>
      <c r="C197" t="s">
        <v>169</v>
      </c>
      <c r="D197" s="2">
        <v>4734.72</v>
      </c>
      <c r="E197">
        <v>9</v>
      </c>
      <c r="F197">
        <v>0.2</v>
      </c>
      <c r="G197" t="s">
        <v>14</v>
      </c>
      <c r="H197" t="s">
        <v>15</v>
      </c>
      <c r="I197" t="s">
        <v>16</v>
      </c>
      <c r="J197" s="2">
        <f>Table1_1[[#This Row],[Sales]]-Table1_1[[#This Row],[Sales]]*Table1_1[[#This Row],[Discount]]</f>
        <v>3787.7760000000003</v>
      </c>
      <c r="K197" s="1">
        <v>45108</v>
      </c>
      <c r="L197" s="11">
        <v>45109</v>
      </c>
      <c r="M197">
        <f>DATEDIF(Table1_1[[#This Row],[Order Date]],Table1_1[[#This Row],[Ship Date]],"D")</f>
        <v>1</v>
      </c>
    </row>
    <row r="198" spans="1:13" x14ac:dyDescent="0.35">
      <c r="A198" t="s">
        <v>435</v>
      </c>
      <c r="B198" t="s">
        <v>165</v>
      </c>
      <c r="C198" t="s">
        <v>436</v>
      </c>
      <c r="D198" s="2">
        <v>1198.8399999999999</v>
      </c>
      <c r="E198">
        <v>4</v>
      </c>
      <c r="F198">
        <v>0</v>
      </c>
      <c r="G198" t="s">
        <v>19</v>
      </c>
      <c r="H198" t="s">
        <v>15</v>
      </c>
      <c r="I198" t="s">
        <v>16</v>
      </c>
      <c r="J198" s="2">
        <f>Table1_1[[#This Row],[Sales]]-Table1_1[[#This Row],[Sales]]*Table1_1[[#This Row],[Discount]]</f>
        <v>1198.8399999999999</v>
      </c>
      <c r="K198" s="1">
        <v>45508</v>
      </c>
      <c r="L198" s="11">
        <v>45512</v>
      </c>
      <c r="M198">
        <f>DATEDIF(Table1_1[[#This Row],[Order Date]],Table1_1[[#This Row],[Ship Date]],"D")</f>
        <v>4</v>
      </c>
    </row>
    <row r="199" spans="1:13" x14ac:dyDescent="0.35">
      <c r="A199" t="s">
        <v>437</v>
      </c>
      <c r="B199" t="s">
        <v>438</v>
      </c>
      <c r="C199" t="s">
        <v>108</v>
      </c>
      <c r="D199" s="2">
        <v>2165.06</v>
      </c>
      <c r="E199">
        <v>4</v>
      </c>
      <c r="F199">
        <v>0.1</v>
      </c>
      <c r="G199" t="s">
        <v>39</v>
      </c>
      <c r="H199" t="s">
        <v>21</v>
      </c>
      <c r="I199" t="s">
        <v>43</v>
      </c>
      <c r="J199" s="2">
        <f>Table1_1[[#This Row],[Sales]]-Table1_1[[#This Row],[Sales]]*Table1_1[[#This Row],[Discount]]</f>
        <v>1948.5539999999999</v>
      </c>
      <c r="K199" s="1">
        <v>45215</v>
      </c>
      <c r="L199" s="11">
        <v>45220</v>
      </c>
      <c r="M199">
        <f>DATEDIF(Table1_1[[#This Row],[Order Date]],Table1_1[[#This Row],[Ship Date]],"D")</f>
        <v>5</v>
      </c>
    </row>
    <row r="200" spans="1:13" x14ac:dyDescent="0.35">
      <c r="A200" t="s">
        <v>439</v>
      </c>
      <c r="B200" t="s">
        <v>440</v>
      </c>
      <c r="C200" t="s">
        <v>441</v>
      </c>
      <c r="D200" s="2">
        <v>4274.3</v>
      </c>
      <c r="E200">
        <v>2</v>
      </c>
      <c r="F200">
        <v>0.3</v>
      </c>
      <c r="G200" t="s">
        <v>39</v>
      </c>
      <c r="H200" t="s">
        <v>15</v>
      </c>
      <c r="I200" t="s">
        <v>20</v>
      </c>
      <c r="J200" s="2">
        <f>Table1_1[[#This Row],[Sales]]-Table1_1[[#This Row],[Sales]]*Table1_1[[#This Row],[Discount]]</f>
        <v>2992.01</v>
      </c>
      <c r="K200" s="1">
        <v>45341</v>
      </c>
      <c r="L200" s="11">
        <v>45342</v>
      </c>
      <c r="M200">
        <f>DATEDIF(Table1_1[[#This Row],[Order Date]],Table1_1[[#This Row],[Ship Date]],"D")</f>
        <v>1</v>
      </c>
    </row>
    <row r="201" spans="1:13" x14ac:dyDescent="0.35">
      <c r="A201" t="s">
        <v>442</v>
      </c>
      <c r="B201" t="s">
        <v>219</v>
      </c>
      <c r="C201" t="s">
        <v>443</v>
      </c>
      <c r="D201" s="2">
        <v>3162.07</v>
      </c>
      <c r="E201">
        <v>9</v>
      </c>
      <c r="F201">
        <v>0.2</v>
      </c>
      <c r="G201" t="s">
        <v>14</v>
      </c>
      <c r="H201" t="s">
        <v>21</v>
      </c>
      <c r="I201" t="s">
        <v>20</v>
      </c>
      <c r="J201" s="2">
        <f>Table1_1[[#This Row],[Sales]]-Table1_1[[#This Row],[Sales]]*Table1_1[[#This Row],[Discount]]</f>
        <v>2529.6559999999999</v>
      </c>
      <c r="K201" s="1">
        <v>45708</v>
      </c>
      <c r="L201" s="11">
        <v>45710</v>
      </c>
      <c r="M201">
        <f>DATEDIF(Table1_1[[#This Row],[Order Date]],Table1_1[[#This Row],[Ship Date]],"D")</f>
        <v>2</v>
      </c>
    </row>
    <row r="202" spans="1:13" x14ac:dyDescent="0.35">
      <c r="A202" t="s">
        <v>444</v>
      </c>
      <c r="B202" t="s">
        <v>445</v>
      </c>
      <c r="C202" t="s">
        <v>229</v>
      </c>
      <c r="D202" s="2">
        <v>454.77</v>
      </c>
      <c r="E202">
        <v>1</v>
      </c>
      <c r="F202">
        <v>0.3</v>
      </c>
      <c r="G202" t="s">
        <v>19</v>
      </c>
      <c r="H202" t="s">
        <v>15</v>
      </c>
      <c r="I202" t="s">
        <v>43</v>
      </c>
      <c r="J202" s="2">
        <f>Table1_1[[#This Row],[Sales]]-Table1_1[[#This Row],[Sales]]*Table1_1[[#This Row],[Discount]]</f>
        <v>318.339</v>
      </c>
      <c r="K202" s="1">
        <v>45755</v>
      </c>
      <c r="L202" s="11">
        <v>45756</v>
      </c>
      <c r="M202">
        <f>DATEDIF(Table1_1[[#This Row],[Order Date]],Table1_1[[#This Row],[Ship Date]],"D")</f>
        <v>1</v>
      </c>
    </row>
    <row r="203" spans="1:13" x14ac:dyDescent="0.35">
      <c r="A203" t="s">
        <v>446</v>
      </c>
      <c r="B203" t="s">
        <v>447</v>
      </c>
      <c r="C203" t="s">
        <v>448</v>
      </c>
      <c r="D203" s="2">
        <v>2631.07</v>
      </c>
      <c r="E203">
        <v>2</v>
      </c>
      <c r="F203">
        <v>0.3</v>
      </c>
      <c r="G203" t="s">
        <v>14</v>
      </c>
      <c r="H203" t="s">
        <v>21</v>
      </c>
      <c r="I203" t="s">
        <v>20</v>
      </c>
      <c r="J203" s="2">
        <f>Table1_1[[#This Row],[Sales]]-Table1_1[[#This Row],[Sales]]*Table1_1[[#This Row],[Discount]]</f>
        <v>1841.7490000000003</v>
      </c>
      <c r="K203" s="1">
        <v>45633</v>
      </c>
      <c r="L203" s="11">
        <v>45639</v>
      </c>
      <c r="M203">
        <f>DATEDIF(Table1_1[[#This Row],[Order Date]],Table1_1[[#This Row],[Ship Date]],"D")</f>
        <v>6</v>
      </c>
    </row>
    <row r="204" spans="1:13" x14ac:dyDescent="0.35">
      <c r="A204" t="s">
        <v>449</v>
      </c>
      <c r="B204" t="s">
        <v>18</v>
      </c>
      <c r="C204" t="s">
        <v>450</v>
      </c>
      <c r="D204" s="2">
        <v>3206.88</v>
      </c>
      <c r="E204">
        <v>8</v>
      </c>
      <c r="F204">
        <v>0.3</v>
      </c>
      <c r="G204" t="s">
        <v>14</v>
      </c>
      <c r="H204" t="s">
        <v>15</v>
      </c>
      <c r="I204" t="s">
        <v>16</v>
      </c>
      <c r="J204" s="2">
        <f>Table1_1[[#This Row],[Sales]]-Table1_1[[#This Row],[Sales]]*Table1_1[[#This Row],[Discount]]</f>
        <v>2244.8160000000003</v>
      </c>
      <c r="K204" s="1">
        <v>45352</v>
      </c>
      <c r="L204" s="11">
        <v>45358</v>
      </c>
      <c r="M204">
        <f>DATEDIF(Table1_1[[#This Row],[Order Date]],Table1_1[[#This Row],[Ship Date]],"D")</f>
        <v>6</v>
      </c>
    </row>
    <row r="205" spans="1:13" x14ac:dyDescent="0.35">
      <c r="A205" t="s">
        <v>451</v>
      </c>
      <c r="B205" t="s">
        <v>402</v>
      </c>
      <c r="C205" t="s">
        <v>125</v>
      </c>
      <c r="D205" s="2">
        <v>1911.88</v>
      </c>
      <c r="E205">
        <v>10</v>
      </c>
      <c r="F205">
        <v>0</v>
      </c>
      <c r="G205" t="s">
        <v>14</v>
      </c>
      <c r="H205" t="s">
        <v>15</v>
      </c>
      <c r="I205" t="s">
        <v>43</v>
      </c>
      <c r="J205" s="2">
        <f>Table1_1[[#This Row],[Sales]]-Table1_1[[#This Row],[Sales]]*Table1_1[[#This Row],[Discount]]</f>
        <v>1911.88</v>
      </c>
      <c r="K205" s="1">
        <v>45736</v>
      </c>
      <c r="L205" s="11">
        <v>45741</v>
      </c>
      <c r="M205">
        <f>DATEDIF(Table1_1[[#This Row],[Order Date]],Table1_1[[#This Row],[Ship Date]],"D")</f>
        <v>5</v>
      </c>
    </row>
    <row r="206" spans="1:13" x14ac:dyDescent="0.35">
      <c r="A206" t="s">
        <v>452</v>
      </c>
      <c r="B206" t="s">
        <v>453</v>
      </c>
      <c r="C206" t="s">
        <v>169</v>
      </c>
      <c r="D206" s="2">
        <v>4576.3900000000003</v>
      </c>
      <c r="E206">
        <v>1</v>
      </c>
      <c r="F206">
        <v>0.2</v>
      </c>
      <c r="G206" t="s">
        <v>14</v>
      </c>
      <c r="H206" t="s">
        <v>21</v>
      </c>
      <c r="I206" t="s">
        <v>20</v>
      </c>
      <c r="J206" s="2">
        <f>Table1_1[[#This Row],[Sales]]-Table1_1[[#This Row],[Sales]]*Table1_1[[#This Row],[Discount]]</f>
        <v>3661.1120000000001</v>
      </c>
      <c r="K206" s="1">
        <v>45750</v>
      </c>
      <c r="L206" s="11">
        <v>45751</v>
      </c>
      <c r="M206">
        <f>DATEDIF(Table1_1[[#This Row],[Order Date]],Table1_1[[#This Row],[Ship Date]],"D")</f>
        <v>1</v>
      </c>
    </row>
    <row r="207" spans="1:13" x14ac:dyDescent="0.35">
      <c r="A207" t="s">
        <v>454</v>
      </c>
      <c r="B207" t="s">
        <v>455</v>
      </c>
      <c r="C207" t="s">
        <v>197</v>
      </c>
      <c r="D207" s="2">
        <v>1273.32</v>
      </c>
      <c r="E207">
        <v>4</v>
      </c>
      <c r="F207">
        <v>0.1</v>
      </c>
      <c r="G207" t="s">
        <v>14</v>
      </c>
      <c r="H207" t="s">
        <v>15</v>
      </c>
      <c r="I207" t="s">
        <v>20</v>
      </c>
      <c r="J207" s="2">
        <f>Table1_1[[#This Row],[Sales]]-Table1_1[[#This Row],[Sales]]*Table1_1[[#This Row],[Discount]]</f>
        <v>1145.9879999999998</v>
      </c>
      <c r="K207" s="1">
        <v>45485</v>
      </c>
      <c r="L207" s="11">
        <v>45492</v>
      </c>
      <c r="M207">
        <f>DATEDIF(Table1_1[[#This Row],[Order Date]],Table1_1[[#This Row],[Ship Date]],"D")</f>
        <v>7</v>
      </c>
    </row>
    <row r="208" spans="1:13" x14ac:dyDescent="0.35">
      <c r="A208" t="s">
        <v>456</v>
      </c>
      <c r="B208" t="s">
        <v>457</v>
      </c>
      <c r="C208" t="s">
        <v>458</v>
      </c>
      <c r="D208" s="2">
        <v>3427.16</v>
      </c>
      <c r="E208">
        <v>3</v>
      </c>
      <c r="F208">
        <v>0.3</v>
      </c>
      <c r="G208" t="s">
        <v>14</v>
      </c>
      <c r="H208" t="s">
        <v>21</v>
      </c>
      <c r="I208" t="s">
        <v>20</v>
      </c>
      <c r="J208" s="2">
        <f>Table1_1[[#This Row],[Sales]]-Table1_1[[#This Row],[Sales]]*Table1_1[[#This Row],[Discount]]</f>
        <v>2399.0119999999997</v>
      </c>
      <c r="K208" s="1">
        <v>45611</v>
      </c>
      <c r="L208" s="11">
        <v>45618</v>
      </c>
      <c r="M208">
        <f>DATEDIF(Table1_1[[#This Row],[Order Date]],Table1_1[[#This Row],[Ship Date]],"D")</f>
        <v>7</v>
      </c>
    </row>
    <row r="209" spans="1:13" x14ac:dyDescent="0.35">
      <c r="A209" t="s">
        <v>459</v>
      </c>
      <c r="B209" t="s">
        <v>189</v>
      </c>
      <c r="C209" t="s">
        <v>62</v>
      </c>
      <c r="D209" s="2">
        <v>891.38</v>
      </c>
      <c r="E209">
        <v>8</v>
      </c>
      <c r="F209">
        <v>0.3</v>
      </c>
      <c r="G209" t="s">
        <v>14</v>
      </c>
      <c r="H209" t="s">
        <v>15</v>
      </c>
      <c r="I209" t="s">
        <v>43</v>
      </c>
      <c r="J209" s="2">
        <f>Table1_1[[#This Row],[Sales]]-Table1_1[[#This Row],[Sales]]*Table1_1[[#This Row],[Discount]]</f>
        <v>623.96600000000001</v>
      </c>
      <c r="K209" s="1">
        <v>44945</v>
      </c>
      <c r="L209" s="11">
        <v>44948</v>
      </c>
      <c r="M209">
        <f>DATEDIF(Table1_1[[#This Row],[Order Date]],Table1_1[[#This Row],[Ship Date]],"D")</f>
        <v>3</v>
      </c>
    </row>
    <row r="210" spans="1:13" x14ac:dyDescent="0.35">
      <c r="A210" t="s">
        <v>460</v>
      </c>
      <c r="B210" t="s">
        <v>162</v>
      </c>
      <c r="C210" t="s">
        <v>65</v>
      </c>
      <c r="D210" s="2">
        <v>3482.66</v>
      </c>
      <c r="E210">
        <v>10</v>
      </c>
      <c r="F210">
        <v>0.3</v>
      </c>
      <c r="G210" t="s">
        <v>14</v>
      </c>
      <c r="H210" t="s">
        <v>21</v>
      </c>
      <c r="I210" t="s">
        <v>16</v>
      </c>
      <c r="J210" s="2">
        <f>Table1_1[[#This Row],[Sales]]-Table1_1[[#This Row],[Sales]]*Table1_1[[#This Row],[Discount]]</f>
        <v>2437.8620000000001</v>
      </c>
      <c r="K210" s="1">
        <v>45528</v>
      </c>
      <c r="L210" s="11">
        <v>45535</v>
      </c>
      <c r="M210">
        <f>DATEDIF(Table1_1[[#This Row],[Order Date]],Table1_1[[#This Row],[Ship Date]],"D")</f>
        <v>7</v>
      </c>
    </row>
    <row r="211" spans="1:13" x14ac:dyDescent="0.35">
      <c r="A211" t="s">
        <v>461</v>
      </c>
      <c r="B211" t="s">
        <v>462</v>
      </c>
      <c r="C211" t="s">
        <v>310</v>
      </c>
      <c r="D211" s="2">
        <v>1637.79</v>
      </c>
      <c r="E211">
        <v>5</v>
      </c>
      <c r="F211">
        <v>0.2</v>
      </c>
      <c r="G211" t="s">
        <v>14</v>
      </c>
      <c r="H211" t="s">
        <v>21</v>
      </c>
      <c r="I211" t="s">
        <v>20</v>
      </c>
      <c r="J211" s="2">
        <f>Table1_1[[#This Row],[Sales]]-Table1_1[[#This Row],[Sales]]*Table1_1[[#This Row],[Discount]]</f>
        <v>1310.232</v>
      </c>
      <c r="K211" s="1">
        <v>45034</v>
      </c>
      <c r="L211" s="11">
        <v>45041</v>
      </c>
      <c r="M211">
        <f>DATEDIF(Table1_1[[#This Row],[Order Date]],Table1_1[[#This Row],[Ship Date]],"D")</f>
        <v>7</v>
      </c>
    </row>
    <row r="212" spans="1:13" x14ac:dyDescent="0.35">
      <c r="A212" t="s">
        <v>463</v>
      </c>
      <c r="B212" t="s">
        <v>72</v>
      </c>
      <c r="C212" t="s">
        <v>190</v>
      </c>
      <c r="D212" s="2">
        <v>3382.69</v>
      </c>
      <c r="E212">
        <v>6</v>
      </c>
      <c r="F212">
        <v>0.2</v>
      </c>
      <c r="G212" t="s">
        <v>39</v>
      </c>
      <c r="H212" t="s">
        <v>21</v>
      </c>
      <c r="I212" t="s">
        <v>20</v>
      </c>
      <c r="J212" s="2">
        <f>Table1_1[[#This Row],[Sales]]-Table1_1[[#This Row],[Sales]]*Table1_1[[#This Row],[Discount]]</f>
        <v>2706.152</v>
      </c>
      <c r="K212" s="1">
        <v>45706</v>
      </c>
      <c r="L212" s="11">
        <v>45710</v>
      </c>
      <c r="M212">
        <f>DATEDIF(Table1_1[[#This Row],[Order Date]],Table1_1[[#This Row],[Ship Date]],"D")</f>
        <v>4</v>
      </c>
    </row>
    <row r="213" spans="1:13" x14ac:dyDescent="0.35">
      <c r="A213" t="s">
        <v>464</v>
      </c>
      <c r="B213" t="s">
        <v>56</v>
      </c>
      <c r="C213" t="s">
        <v>146</v>
      </c>
      <c r="D213" s="2">
        <v>2829.26</v>
      </c>
      <c r="E213">
        <v>5</v>
      </c>
      <c r="F213">
        <v>0.1</v>
      </c>
      <c r="G213" t="s">
        <v>19</v>
      </c>
      <c r="H213" t="s">
        <v>15</v>
      </c>
      <c r="I213" t="s">
        <v>20</v>
      </c>
      <c r="J213" s="2">
        <f>Table1_1[[#This Row],[Sales]]-Table1_1[[#This Row],[Sales]]*Table1_1[[#This Row],[Discount]]</f>
        <v>2546.3340000000003</v>
      </c>
      <c r="K213" s="1">
        <v>45425</v>
      </c>
      <c r="L213" s="11">
        <v>45426</v>
      </c>
      <c r="M213">
        <f>DATEDIF(Table1_1[[#This Row],[Order Date]],Table1_1[[#This Row],[Ship Date]],"D")</f>
        <v>1</v>
      </c>
    </row>
    <row r="214" spans="1:13" x14ac:dyDescent="0.35">
      <c r="A214" t="s">
        <v>465</v>
      </c>
      <c r="B214" t="s">
        <v>466</v>
      </c>
      <c r="C214" t="s">
        <v>62</v>
      </c>
      <c r="D214" s="2">
        <v>4603.8500000000004</v>
      </c>
      <c r="E214">
        <v>5</v>
      </c>
      <c r="F214">
        <v>0</v>
      </c>
      <c r="G214" t="s">
        <v>14</v>
      </c>
      <c r="H214" t="s">
        <v>21</v>
      </c>
      <c r="I214" t="s">
        <v>20</v>
      </c>
      <c r="J214" s="2">
        <f>Table1_1[[#This Row],[Sales]]-Table1_1[[#This Row],[Sales]]*Table1_1[[#This Row],[Discount]]</f>
        <v>4603.8500000000004</v>
      </c>
      <c r="K214" s="1">
        <v>45339</v>
      </c>
      <c r="L214" s="11">
        <v>45346</v>
      </c>
      <c r="M214">
        <f>DATEDIF(Table1_1[[#This Row],[Order Date]],Table1_1[[#This Row],[Ship Date]],"D")</f>
        <v>7</v>
      </c>
    </row>
    <row r="215" spans="1:13" x14ac:dyDescent="0.35">
      <c r="A215" t="s">
        <v>467</v>
      </c>
      <c r="B215" t="s">
        <v>253</v>
      </c>
      <c r="C215" t="s">
        <v>229</v>
      </c>
      <c r="D215" s="2">
        <v>580.37</v>
      </c>
      <c r="E215">
        <v>5</v>
      </c>
      <c r="F215">
        <v>0.2</v>
      </c>
      <c r="G215" t="s">
        <v>39</v>
      </c>
      <c r="H215" t="s">
        <v>21</v>
      </c>
      <c r="I215" t="s">
        <v>16</v>
      </c>
      <c r="J215" s="2">
        <f>Table1_1[[#This Row],[Sales]]-Table1_1[[#This Row],[Sales]]*Table1_1[[#This Row],[Discount]]</f>
        <v>464.29599999999999</v>
      </c>
      <c r="K215" s="1">
        <v>45001</v>
      </c>
      <c r="L215" s="11">
        <v>45006</v>
      </c>
      <c r="M215">
        <f>DATEDIF(Table1_1[[#This Row],[Order Date]],Table1_1[[#This Row],[Ship Date]],"D")</f>
        <v>5</v>
      </c>
    </row>
    <row r="216" spans="1:13" x14ac:dyDescent="0.35">
      <c r="A216" t="s">
        <v>468</v>
      </c>
      <c r="B216" t="s">
        <v>469</v>
      </c>
      <c r="C216" t="s">
        <v>57</v>
      </c>
      <c r="D216" s="2">
        <v>4047.68</v>
      </c>
      <c r="E216">
        <v>8</v>
      </c>
      <c r="F216">
        <v>0.1</v>
      </c>
      <c r="G216" t="s">
        <v>14</v>
      </c>
      <c r="H216" t="s">
        <v>15</v>
      </c>
      <c r="I216" t="s">
        <v>43</v>
      </c>
      <c r="J216" s="2">
        <f>Table1_1[[#This Row],[Sales]]-Table1_1[[#This Row],[Sales]]*Table1_1[[#This Row],[Discount]]</f>
        <v>3642.9119999999998</v>
      </c>
      <c r="K216" s="1">
        <v>45733</v>
      </c>
      <c r="L216" s="11">
        <v>45734</v>
      </c>
      <c r="M216">
        <f>DATEDIF(Table1_1[[#This Row],[Order Date]],Table1_1[[#This Row],[Ship Date]],"D")</f>
        <v>1</v>
      </c>
    </row>
    <row r="217" spans="1:13" x14ac:dyDescent="0.35">
      <c r="A217" t="s">
        <v>470</v>
      </c>
      <c r="B217" t="s">
        <v>351</v>
      </c>
      <c r="C217" t="s">
        <v>166</v>
      </c>
      <c r="D217" s="2">
        <v>1655.56</v>
      </c>
      <c r="E217">
        <v>5</v>
      </c>
      <c r="F217">
        <v>0</v>
      </c>
      <c r="G217" t="s">
        <v>14</v>
      </c>
      <c r="H217" t="s">
        <v>21</v>
      </c>
      <c r="I217" t="s">
        <v>43</v>
      </c>
      <c r="J217" s="2">
        <f>Table1_1[[#This Row],[Sales]]-Table1_1[[#This Row],[Sales]]*Table1_1[[#This Row],[Discount]]</f>
        <v>1655.56</v>
      </c>
      <c r="K217" s="1">
        <v>45715</v>
      </c>
      <c r="L217" s="11">
        <v>45718</v>
      </c>
      <c r="M217">
        <f>DATEDIF(Table1_1[[#This Row],[Order Date]],Table1_1[[#This Row],[Ship Date]],"D")</f>
        <v>3</v>
      </c>
    </row>
    <row r="218" spans="1:13" x14ac:dyDescent="0.35">
      <c r="A218" t="s">
        <v>471</v>
      </c>
      <c r="B218" t="s">
        <v>472</v>
      </c>
      <c r="C218" t="s">
        <v>57</v>
      </c>
      <c r="D218" s="2">
        <v>4107.97</v>
      </c>
      <c r="E218">
        <v>4</v>
      </c>
      <c r="F218">
        <v>0.3</v>
      </c>
      <c r="G218" t="s">
        <v>14</v>
      </c>
      <c r="H218" t="s">
        <v>15</v>
      </c>
      <c r="I218" t="s">
        <v>43</v>
      </c>
      <c r="J218" s="2">
        <f>Table1_1[[#This Row],[Sales]]-Table1_1[[#This Row],[Sales]]*Table1_1[[#This Row],[Discount]]</f>
        <v>2875.5790000000002</v>
      </c>
      <c r="K218" s="1">
        <v>45206</v>
      </c>
      <c r="L218" s="11">
        <v>45207</v>
      </c>
      <c r="M218">
        <f>DATEDIF(Table1_1[[#This Row],[Order Date]],Table1_1[[#This Row],[Ship Date]],"D")</f>
        <v>1</v>
      </c>
    </row>
    <row r="219" spans="1:13" x14ac:dyDescent="0.35">
      <c r="A219" t="s">
        <v>473</v>
      </c>
      <c r="B219" t="s">
        <v>474</v>
      </c>
      <c r="C219" t="s">
        <v>436</v>
      </c>
      <c r="D219" s="2">
        <v>4448</v>
      </c>
      <c r="E219">
        <v>2</v>
      </c>
      <c r="F219">
        <v>0.3</v>
      </c>
      <c r="G219" t="s">
        <v>14</v>
      </c>
      <c r="H219" t="s">
        <v>15</v>
      </c>
      <c r="I219" t="s">
        <v>20</v>
      </c>
      <c r="J219" s="2">
        <f>Table1_1[[#This Row],[Sales]]-Table1_1[[#This Row],[Sales]]*Table1_1[[#This Row],[Discount]]</f>
        <v>3113.6000000000004</v>
      </c>
      <c r="K219" s="1">
        <v>45436</v>
      </c>
      <c r="L219" s="11">
        <v>45439</v>
      </c>
      <c r="M219">
        <f>DATEDIF(Table1_1[[#This Row],[Order Date]],Table1_1[[#This Row],[Ship Date]],"D")</f>
        <v>3</v>
      </c>
    </row>
    <row r="220" spans="1:13" x14ac:dyDescent="0.35">
      <c r="A220" t="s">
        <v>475</v>
      </c>
      <c r="B220" t="s">
        <v>127</v>
      </c>
      <c r="C220" t="s">
        <v>254</v>
      </c>
      <c r="D220" s="2">
        <v>4419.3999999999996</v>
      </c>
      <c r="E220">
        <v>1</v>
      </c>
      <c r="F220">
        <v>0.3</v>
      </c>
      <c r="G220" t="s">
        <v>39</v>
      </c>
      <c r="H220" t="s">
        <v>21</v>
      </c>
      <c r="I220" t="s">
        <v>43</v>
      </c>
      <c r="J220" s="2">
        <f>Table1_1[[#This Row],[Sales]]-Table1_1[[#This Row],[Sales]]*Table1_1[[#This Row],[Discount]]</f>
        <v>3093.58</v>
      </c>
      <c r="K220" s="1">
        <v>45704</v>
      </c>
      <c r="L220" s="11">
        <v>45707</v>
      </c>
      <c r="M220">
        <f>DATEDIF(Table1_1[[#This Row],[Order Date]],Table1_1[[#This Row],[Ship Date]],"D")</f>
        <v>3</v>
      </c>
    </row>
    <row r="221" spans="1:13" x14ac:dyDescent="0.35">
      <c r="A221" t="s">
        <v>476</v>
      </c>
      <c r="B221" t="s">
        <v>477</v>
      </c>
      <c r="C221" t="s">
        <v>259</v>
      </c>
      <c r="D221" s="2">
        <v>4889.6899999999996</v>
      </c>
      <c r="E221">
        <v>1</v>
      </c>
      <c r="F221">
        <v>0.2</v>
      </c>
      <c r="G221" t="s">
        <v>19</v>
      </c>
      <c r="H221" t="s">
        <v>21</v>
      </c>
      <c r="I221" t="s">
        <v>43</v>
      </c>
      <c r="J221" s="2">
        <f>Table1_1[[#This Row],[Sales]]-Table1_1[[#This Row],[Sales]]*Table1_1[[#This Row],[Discount]]</f>
        <v>3911.7519999999995</v>
      </c>
      <c r="K221" s="1">
        <v>45077</v>
      </c>
      <c r="L221" s="11">
        <v>45078</v>
      </c>
      <c r="M221">
        <f>DATEDIF(Table1_1[[#This Row],[Order Date]],Table1_1[[#This Row],[Ship Date]],"D")</f>
        <v>1</v>
      </c>
    </row>
    <row r="222" spans="1:13" x14ac:dyDescent="0.35">
      <c r="A222" t="s">
        <v>478</v>
      </c>
      <c r="B222" t="s">
        <v>112</v>
      </c>
      <c r="C222" t="s">
        <v>354</v>
      </c>
      <c r="D222" s="2">
        <v>294.95</v>
      </c>
      <c r="E222">
        <v>2</v>
      </c>
      <c r="F222">
        <v>0.1</v>
      </c>
      <c r="G222" t="s">
        <v>14</v>
      </c>
      <c r="H222" t="s">
        <v>15</v>
      </c>
      <c r="I222" t="s">
        <v>20</v>
      </c>
      <c r="J222" s="2">
        <f>Table1_1[[#This Row],[Sales]]-Table1_1[[#This Row],[Sales]]*Table1_1[[#This Row],[Discount]]</f>
        <v>265.45499999999998</v>
      </c>
      <c r="K222" s="1">
        <v>45127</v>
      </c>
      <c r="L222" s="11">
        <v>45130</v>
      </c>
      <c r="M222">
        <f>DATEDIF(Table1_1[[#This Row],[Order Date]],Table1_1[[#This Row],[Ship Date]],"D")</f>
        <v>3</v>
      </c>
    </row>
    <row r="223" spans="1:13" x14ac:dyDescent="0.35">
      <c r="A223" t="s">
        <v>479</v>
      </c>
      <c r="B223" t="s">
        <v>480</v>
      </c>
      <c r="C223" t="s">
        <v>163</v>
      </c>
      <c r="D223" s="2">
        <v>1756.28</v>
      </c>
      <c r="E223">
        <v>3</v>
      </c>
      <c r="F223">
        <v>0.1</v>
      </c>
      <c r="G223" t="s">
        <v>39</v>
      </c>
      <c r="H223" t="s">
        <v>15</v>
      </c>
      <c r="I223" t="s">
        <v>16</v>
      </c>
      <c r="J223" s="2">
        <f>Table1_1[[#This Row],[Sales]]-Table1_1[[#This Row],[Sales]]*Table1_1[[#This Row],[Discount]]</f>
        <v>1580.652</v>
      </c>
      <c r="K223" s="1">
        <v>45752</v>
      </c>
      <c r="L223" s="11">
        <v>45754</v>
      </c>
      <c r="M223">
        <f>DATEDIF(Table1_1[[#This Row],[Order Date]],Table1_1[[#This Row],[Ship Date]],"D")</f>
        <v>2</v>
      </c>
    </row>
    <row r="224" spans="1:13" x14ac:dyDescent="0.35">
      <c r="A224" t="s">
        <v>481</v>
      </c>
      <c r="B224" t="s">
        <v>222</v>
      </c>
      <c r="C224" t="s">
        <v>278</v>
      </c>
      <c r="D224" s="2">
        <v>3958.19</v>
      </c>
      <c r="E224">
        <v>1</v>
      </c>
      <c r="F224">
        <v>0.3</v>
      </c>
      <c r="G224" t="s">
        <v>14</v>
      </c>
      <c r="H224" t="s">
        <v>21</v>
      </c>
      <c r="I224" t="s">
        <v>16</v>
      </c>
      <c r="J224" s="2">
        <f>Table1_1[[#This Row],[Sales]]-Table1_1[[#This Row],[Sales]]*Table1_1[[#This Row],[Discount]]</f>
        <v>2770.7330000000002</v>
      </c>
      <c r="K224" s="1">
        <v>45574</v>
      </c>
      <c r="L224" s="11">
        <v>45577</v>
      </c>
      <c r="M224">
        <f>DATEDIF(Table1_1[[#This Row],[Order Date]],Table1_1[[#This Row],[Ship Date]],"D")</f>
        <v>3</v>
      </c>
    </row>
    <row r="225" spans="1:13" x14ac:dyDescent="0.35">
      <c r="A225" t="s">
        <v>482</v>
      </c>
      <c r="B225" t="s">
        <v>483</v>
      </c>
      <c r="C225" t="s">
        <v>91</v>
      </c>
      <c r="D225" s="2">
        <v>3683.6</v>
      </c>
      <c r="E225">
        <v>4</v>
      </c>
      <c r="F225">
        <v>0.1</v>
      </c>
      <c r="G225" t="s">
        <v>19</v>
      </c>
      <c r="H225" t="s">
        <v>15</v>
      </c>
      <c r="I225" t="s">
        <v>20</v>
      </c>
      <c r="J225" s="2">
        <f>Table1_1[[#This Row],[Sales]]-Table1_1[[#This Row],[Sales]]*Table1_1[[#This Row],[Discount]]</f>
        <v>3315.24</v>
      </c>
      <c r="K225" s="1">
        <v>45642</v>
      </c>
      <c r="L225" s="11">
        <v>45643</v>
      </c>
      <c r="M225">
        <f>DATEDIF(Table1_1[[#This Row],[Order Date]],Table1_1[[#This Row],[Ship Date]],"D")</f>
        <v>1</v>
      </c>
    </row>
    <row r="226" spans="1:13" x14ac:dyDescent="0.35">
      <c r="A226" t="s">
        <v>484</v>
      </c>
      <c r="B226" t="s">
        <v>438</v>
      </c>
      <c r="C226" t="s">
        <v>359</v>
      </c>
      <c r="D226" s="2">
        <v>281.27</v>
      </c>
      <c r="E226">
        <v>2</v>
      </c>
      <c r="F226">
        <v>0</v>
      </c>
      <c r="G226" t="s">
        <v>19</v>
      </c>
      <c r="H226" t="s">
        <v>21</v>
      </c>
      <c r="I226" t="s">
        <v>16</v>
      </c>
      <c r="J226" s="2">
        <f>Table1_1[[#This Row],[Sales]]-Table1_1[[#This Row],[Sales]]*Table1_1[[#This Row],[Discount]]</f>
        <v>281.27</v>
      </c>
      <c r="K226" s="1">
        <v>45257</v>
      </c>
      <c r="L226" s="11">
        <v>45260</v>
      </c>
      <c r="M226">
        <f>DATEDIF(Table1_1[[#This Row],[Order Date]],Table1_1[[#This Row],[Ship Date]],"D")</f>
        <v>3</v>
      </c>
    </row>
    <row r="227" spans="1:13" x14ac:dyDescent="0.35">
      <c r="A227" t="s">
        <v>485</v>
      </c>
      <c r="B227" t="s">
        <v>486</v>
      </c>
      <c r="C227" t="s">
        <v>487</v>
      </c>
      <c r="D227" s="2">
        <v>2061.86</v>
      </c>
      <c r="E227">
        <v>10</v>
      </c>
      <c r="F227">
        <v>0.2</v>
      </c>
      <c r="G227" t="s">
        <v>14</v>
      </c>
      <c r="H227" t="s">
        <v>21</v>
      </c>
      <c r="I227" t="s">
        <v>43</v>
      </c>
      <c r="J227" s="2">
        <f>Table1_1[[#This Row],[Sales]]-Table1_1[[#This Row],[Sales]]*Table1_1[[#This Row],[Discount]]</f>
        <v>1649.4880000000001</v>
      </c>
      <c r="K227" s="1">
        <v>45807</v>
      </c>
      <c r="L227" s="11">
        <v>45811</v>
      </c>
      <c r="M227">
        <f>DATEDIF(Table1_1[[#This Row],[Order Date]],Table1_1[[#This Row],[Ship Date]],"D")</f>
        <v>4</v>
      </c>
    </row>
    <row r="228" spans="1:13" x14ac:dyDescent="0.35">
      <c r="A228" t="s">
        <v>488</v>
      </c>
      <c r="B228" t="s">
        <v>424</v>
      </c>
      <c r="C228" t="s">
        <v>178</v>
      </c>
      <c r="D228" s="2">
        <v>4672.62</v>
      </c>
      <c r="E228">
        <v>8</v>
      </c>
      <c r="F228">
        <v>0.2</v>
      </c>
      <c r="G228" t="s">
        <v>39</v>
      </c>
      <c r="H228" t="s">
        <v>15</v>
      </c>
      <c r="I228" t="s">
        <v>43</v>
      </c>
      <c r="J228" s="2">
        <f>Table1_1[[#This Row],[Sales]]-Table1_1[[#This Row],[Sales]]*Table1_1[[#This Row],[Discount]]</f>
        <v>3738.096</v>
      </c>
      <c r="K228" s="1">
        <v>45731</v>
      </c>
      <c r="L228" s="11">
        <v>45736</v>
      </c>
      <c r="M228">
        <f>DATEDIF(Table1_1[[#This Row],[Order Date]],Table1_1[[#This Row],[Ship Date]],"D")</f>
        <v>5</v>
      </c>
    </row>
    <row r="229" spans="1:13" x14ac:dyDescent="0.35">
      <c r="A229" t="s">
        <v>489</v>
      </c>
      <c r="B229" t="s">
        <v>18</v>
      </c>
      <c r="C229" t="s">
        <v>194</v>
      </c>
      <c r="D229" s="2">
        <v>1534.78</v>
      </c>
      <c r="E229">
        <v>1</v>
      </c>
      <c r="F229">
        <v>0</v>
      </c>
      <c r="G229" t="s">
        <v>14</v>
      </c>
      <c r="H229" t="s">
        <v>21</v>
      </c>
      <c r="I229" t="s">
        <v>43</v>
      </c>
      <c r="J229" s="2">
        <f>Table1_1[[#This Row],[Sales]]-Table1_1[[#This Row],[Sales]]*Table1_1[[#This Row],[Discount]]</f>
        <v>1534.78</v>
      </c>
      <c r="K229" s="1">
        <v>45329</v>
      </c>
      <c r="L229" s="11">
        <v>45336</v>
      </c>
      <c r="M229">
        <f>DATEDIF(Table1_1[[#This Row],[Order Date]],Table1_1[[#This Row],[Ship Date]],"D")</f>
        <v>7</v>
      </c>
    </row>
    <row r="230" spans="1:13" x14ac:dyDescent="0.35">
      <c r="A230" t="s">
        <v>490</v>
      </c>
      <c r="B230" t="s">
        <v>445</v>
      </c>
      <c r="C230" t="s">
        <v>207</v>
      </c>
      <c r="D230" s="2">
        <v>3138.51</v>
      </c>
      <c r="E230">
        <v>5</v>
      </c>
      <c r="F230">
        <v>0.1</v>
      </c>
      <c r="G230" t="s">
        <v>14</v>
      </c>
      <c r="H230" t="s">
        <v>21</v>
      </c>
      <c r="I230" t="s">
        <v>20</v>
      </c>
      <c r="J230" s="2">
        <f>Table1_1[[#This Row],[Sales]]-Table1_1[[#This Row],[Sales]]*Table1_1[[#This Row],[Discount]]</f>
        <v>2824.6590000000001</v>
      </c>
      <c r="K230" s="1">
        <v>45387</v>
      </c>
      <c r="L230" s="11">
        <v>45389</v>
      </c>
      <c r="M230">
        <f>DATEDIF(Table1_1[[#This Row],[Order Date]],Table1_1[[#This Row],[Ship Date]],"D")</f>
        <v>2</v>
      </c>
    </row>
    <row r="231" spans="1:13" x14ac:dyDescent="0.35">
      <c r="A231" t="s">
        <v>491</v>
      </c>
      <c r="B231" t="s">
        <v>492</v>
      </c>
      <c r="C231" t="s">
        <v>273</v>
      </c>
      <c r="D231" s="2">
        <v>3257.28</v>
      </c>
      <c r="E231">
        <v>4</v>
      </c>
      <c r="F231">
        <v>0</v>
      </c>
      <c r="G231" t="s">
        <v>14</v>
      </c>
      <c r="H231" t="s">
        <v>21</v>
      </c>
      <c r="I231" t="s">
        <v>43</v>
      </c>
      <c r="J231" s="2">
        <f>Table1_1[[#This Row],[Sales]]-Table1_1[[#This Row],[Sales]]*Table1_1[[#This Row],[Discount]]</f>
        <v>3257.28</v>
      </c>
      <c r="K231" s="1">
        <v>45487</v>
      </c>
      <c r="L231" s="11">
        <v>45494</v>
      </c>
      <c r="M231">
        <f>DATEDIF(Table1_1[[#This Row],[Order Date]],Table1_1[[#This Row],[Ship Date]],"D")</f>
        <v>7</v>
      </c>
    </row>
    <row r="232" spans="1:13" x14ac:dyDescent="0.35">
      <c r="A232" t="s">
        <v>493</v>
      </c>
      <c r="B232" t="s">
        <v>347</v>
      </c>
      <c r="C232" t="s">
        <v>254</v>
      </c>
      <c r="D232" s="2">
        <v>898.38</v>
      </c>
      <c r="E232">
        <v>8</v>
      </c>
      <c r="F232">
        <v>0.2</v>
      </c>
      <c r="G232" t="s">
        <v>14</v>
      </c>
      <c r="H232" t="s">
        <v>15</v>
      </c>
      <c r="I232" t="s">
        <v>43</v>
      </c>
      <c r="J232" s="2">
        <f>Table1_1[[#This Row],[Sales]]-Table1_1[[#This Row],[Sales]]*Table1_1[[#This Row],[Discount]]</f>
        <v>718.70399999999995</v>
      </c>
      <c r="K232" s="1">
        <v>45414</v>
      </c>
      <c r="L232" s="11">
        <v>45420</v>
      </c>
      <c r="M232">
        <f>DATEDIF(Table1_1[[#This Row],[Order Date]],Table1_1[[#This Row],[Ship Date]],"D")</f>
        <v>6</v>
      </c>
    </row>
    <row r="233" spans="1:13" x14ac:dyDescent="0.35">
      <c r="A233" t="s">
        <v>494</v>
      </c>
      <c r="B233" t="s">
        <v>495</v>
      </c>
      <c r="C233" t="s">
        <v>178</v>
      </c>
      <c r="D233" s="2">
        <v>359.53</v>
      </c>
      <c r="E233">
        <v>5</v>
      </c>
      <c r="F233">
        <v>0</v>
      </c>
      <c r="G233" t="s">
        <v>19</v>
      </c>
      <c r="H233" t="s">
        <v>15</v>
      </c>
      <c r="I233" t="s">
        <v>43</v>
      </c>
      <c r="J233" s="2">
        <f>Table1_1[[#This Row],[Sales]]-Table1_1[[#This Row],[Sales]]*Table1_1[[#This Row],[Discount]]</f>
        <v>359.53</v>
      </c>
      <c r="K233" s="1">
        <v>45639</v>
      </c>
      <c r="L233" s="11">
        <v>45645</v>
      </c>
      <c r="M233">
        <f>DATEDIF(Table1_1[[#This Row],[Order Date]],Table1_1[[#This Row],[Ship Date]],"D")</f>
        <v>6</v>
      </c>
    </row>
    <row r="234" spans="1:13" x14ac:dyDescent="0.35">
      <c r="A234" t="s">
        <v>496</v>
      </c>
      <c r="B234" t="s">
        <v>328</v>
      </c>
      <c r="C234" t="s">
        <v>214</v>
      </c>
      <c r="D234" s="2">
        <v>3403.98</v>
      </c>
      <c r="E234">
        <v>8</v>
      </c>
      <c r="F234">
        <v>0.1</v>
      </c>
      <c r="G234" t="s">
        <v>19</v>
      </c>
      <c r="H234" t="s">
        <v>21</v>
      </c>
      <c r="I234" t="s">
        <v>43</v>
      </c>
      <c r="J234" s="2">
        <f>Table1_1[[#This Row],[Sales]]-Table1_1[[#This Row],[Sales]]*Table1_1[[#This Row],[Discount]]</f>
        <v>3063.5819999999999</v>
      </c>
      <c r="K234" s="1">
        <v>45093</v>
      </c>
      <c r="L234" s="11">
        <v>45100</v>
      </c>
      <c r="M234">
        <f>DATEDIF(Table1_1[[#This Row],[Order Date]],Table1_1[[#This Row],[Ship Date]],"D")</f>
        <v>7</v>
      </c>
    </row>
    <row r="235" spans="1:13" x14ac:dyDescent="0.35">
      <c r="A235" t="s">
        <v>497</v>
      </c>
      <c r="B235" t="s">
        <v>498</v>
      </c>
      <c r="C235" t="s">
        <v>240</v>
      </c>
      <c r="D235" s="2">
        <v>4408.25</v>
      </c>
      <c r="E235">
        <v>10</v>
      </c>
      <c r="F235">
        <v>0.2</v>
      </c>
      <c r="G235" t="s">
        <v>14</v>
      </c>
      <c r="H235" t="s">
        <v>15</v>
      </c>
      <c r="I235" t="s">
        <v>20</v>
      </c>
      <c r="J235" s="2">
        <f>Table1_1[[#This Row],[Sales]]-Table1_1[[#This Row],[Sales]]*Table1_1[[#This Row],[Discount]]</f>
        <v>3526.6</v>
      </c>
      <c r="K235" s="1">
        <v>45148</v>
      </c>
      <c r="L235" s="11">
        <v>45151</v>
      </c>
      <c r="M235">
        <f>DATEDIF(Table1_1[[#This Row],[Order Date]],Table1_1[[#This Row],[Ship Date]],"D")</f>
        <v>3</v>
      </c>
    </row>
    <row r="236" spans="1:13" x14ac:dyDescent="0.35">
      <c r="A236" t="s">
        <v>499</v>
      </c>
      <c r="B236" t="s">
        <v>70</v>
      </c>
      <c r="C236" t="s">
        <v>34</v>
      </c>
      <c r="D236" s="2">
        <v>4252.7700000000004</v>
      </c>
      <c r="E236">
        <v>8</v>
      </c>
      <c r="F236">
        <v>0.3</v>
      </c>
      <c r="G236" t="s">
        <v>14</v>
      </c>
      <c r="H236" t="s">
        <v>21</v>
      </c>
      <c r="I236" t="s">
        <v>43</v>
      </c>
      <c r="J236" s="2">
        <f>Table1_1[[#This Row],[Sales]]-Table1_1[[#This Row],[Sales]]*Table1_1[[#This Row],[Discount]]</f>
        <v>2976.9390000000003</v>
      </c>
      <c r="K236" s="1">
        <v>44959</v>
      </c>
      <c r="L236" s="11">
        <v>44966</v>
      </c>
      <c r="M236">
        <f>DATEDIF(Table1_1[[#This Row],[Order Date]],Table1_1[[#This Row],[Ship Date]],"D")</f>
        <v>7</v>
      </c>
    </row>
    <row r="237" spans="1:13" x14ac:dyDescent="0.35">
      <c r="A237" t="s">
        <v>500</v>
      </c>
      <c r="B237" t="s">
        <v>86</v>
      </c>
      <c r="C237" t="s">
        <v>376</v>
      </c>
      <c r="D237" s="2">
        <v>4962.7299999999996</v>
      </c>
      <c r="E237">
        <v>2</v>
      </c>
      <c r="F237">
        <v>0.3</v>
      </c>
      <c r="G237" t="s">
        <v>14</v>
      </c>
      <c r="H237" t="s">
        <v>15</v>
      </c>
      <c r="I237" t="s">
        <v>20</v>
      </c>
      <c r="J237" s="2">
        <f>Table1_1[[#This Row],[Sales]]-Table1_1[[#This Row],[Sales]]*Table1_1[[#This Row],[Discount]]</f>
        <v>3473.9110000000001</v>
      </c>
      <c r="K237" s="1">
        <v>45175</v>
      </c>
      <c r="L237" s="11">
        <v>45179</v>
      </c>
      <c r="M237">
        <f>DATEDIF(Table1_1[[#This Row],[Order Date]],Table1_1[[#This Row],[Ship Date]],"D")</f>
        <v>4</v>
      </c>
    </row>
    <row r="238" spans="1:13" x14ac:dyDescent="0.35">
      <c r="A238" t="s">
        <v>501</v>
      </c>
      <c r="B238" t="s">
        <v>264</v>
      </c>
      <c r="C238" t="s">
        <v>180</v>
      </c>
      <c r="D238" s="2">
        <v>529.91</v>
      </c>
      <c r="E238">
        <v>1</v>
      </c>
      <c r="F238">
        <v>0.1</v>
      </c>
      <c r="G238" t="s">
        <v>14</v>
      </c>
      <c r="H238" t="s">
        <v>15</v>
      </c>
      <c r="I238" t="s">
        <v>16</v>
      </c>
      <c r="J238" s="2">
        <f>Table1_1[[#This Row],[Sales]]-Table1_1[[#This Row],[Sales]]*Table1_1[[#This Row],[Discount]]</f>
        <v>476.91899999999998</v>
      </c>
      <c r="K238" s="1">
        <v>45520</v>
      </c>
      <c r="L238" s="11">
        <v>45523</v>
      </c>
      <c r="M238">
        <f>DATEDIF(Table1_1[[#This Row],[Order Date]],Table1_1[[#This Row],[Ship Date]],"D")</f>
        <v>3</v>
      </c>
    </row>
    <row r="239" spans="1:13" x14ac:dyDescent="0.35">
      <c r="A239" t="s">
        <v>502</v>
      </c>
      <c r="B239" t="s">
        <v>196</v>
      </c>
      <c r="C239" t="s">
        <v>26</v>
      </c>
      <c r="D239" s="2">
        <v>4388.05</v>
      </c>
      <c r="E239">
        <v>1</v>
      </c>
      <c r="F239">
        <v>0</v>
      </c>
      <c r="G239" t="s">
        <v>14</v>
      </c>
      <c r="H239" t="s">
        <v>21</v>
      </c>
      <c r="I239" t="s">
        <v>16</v>
      </c>
      <c r="J239" s="2">
        <f>Table1_1[[#This Row],[Sales]]-Table1_1[[#This Row],[Sales]]*Table1_1[[#This Row],[Discount]]</f>
        <v>4388.05</v>
      </c>
      <c r="K239" s="1">
        <v>45480</v>
      </c>
      <c r="L239" s="11">
        <v>45482</v>
      </c>
      <c r="M239">
        <f>DATEDIF(Table1_1[[#This Row],[Order Date]],Table1_1[[#This Row],[Ship Date]],"D")</f>
        <v>2</v>
      </c>
    </row>
    <row r="240" spans="1:13" x14ac:dyDescent="0.35">
      <c r="A240" t="s">
        <v>503</v>
      </c>
      <c r="B240" t="s">
        <v>201</v>
      </c>
      <c r="C240" t="s">
        <v>318</v>
      </c>
      <c r="D240" s="2">
        <v>2559.11</v>
      </c>
      <c r="E240">
        <v>8</v>
      </c>
      <c r="F240">
        <v>0.2</v>
      </c>
      <c r="G240" t="s">
        <v>14</v>
      </c>
      <c r="H240" t="s">
        <v>15</v>
      </c>
      <c r="I240" t="s">
        <v>43</v>
      </c>
      <c r="J240" s="2">
        <f>Table1_1[[#This Row],[Sales]]-Table1_1[[#This Row],[Sales]]*Table1_1[[#This Row],[Discount]]</f>
        <v>2047.288</v>
      </c>
      <c r="K240" s="1">
        <v>44939</v>
      </c>
      <c r="L240" s="11">
        <v>44944</v>
      </c>
      <c r="M240">
        <f>DATEDIF(Table1_1[[#This Row],[Order Date]],Table1_1[[#This Row],[Ship Date]],"D")</f>
        <v>5</v>
      </c>
    </row>
    <row r="241" spans="1:13" x14ac:dyDescent="0.35">
      <c r="A241" t="s">
        <v>504</v>
      </c>
      <c r="B241" t="s">
        <v>505</v>
      </c>
      <c r="C241" t="s">
        <v>285</v>
      </c>
      <c r="D241" s="2">
        <v>2030.13</v>
      </c>
      <c r="E241">
        <v>1</v>
      </c>
      <c r="F241">
        <v>0.1</v>
      </c>
      <c r="G241" t="s">
        <v>14</v>
      </c>
      <c r="H241" t="s">
        <v>15</v>
      </c>
      <c r="I241" t="s">
        <v>16</v>
      </c>
      <c r="J241" s="2">
        <f>Table1_1[[#This Row],[Sales]]-Table1_1[[#This Row],[Sales]]*Table1_1[[#This Row],[Discount]]</f>
        <v>1827.1170000000002</v>
      </c>
      <c r="K241" s="1">
        <v>45258</v>
      </c>
      <c r="L241" s="11">
        <v>45263</v>
      </c>
      <c r="M241">
        <f>DATEDIF(Table1_1[[#This Row],[Order Date]],Table1_1[[#This Row],[Ship Date]],"D")</f>
        <v>5</v>
      </c>
    </row>
    <row r="242" spans="1:13" x14ac:dyDescent="0.35">
      <c r="A242" t="s">
        <v>506</v>
      </c>
      <c r="B242" t="s">
        <v>127</v>
      </c>
      <c r="C242" t="s">
        <v>254</v>
      </c>
      <c r="D242" s="2">
        <v>3038.19</v>
      </c>
      <c r="E242">
        <v>10</v>
      </c>
      <c r="F242">
        <v>0</v>
      </c>
      <c r="G242" t="s">
        <v>14</v>
      </c>
      <c r="H242" t="s">
        <v>15</v>
      </c>
      <c r="I242" t="s">
        <v>43</v>
      </c>
      <c r="J242" s="2">
        <f>Table1_1[[#This Row],[Sales]]-Table1_1[[#This Row],[Sales]]*Table1_1[[#This Row],[Discount]]</f>
        <v>3038.19</v>
      </c>
      <c r="K242" s="1">
        <v>45207</v>
      </c>
      <c r="L242" s="11">
        <v>45212</v>
      </c>
      <c r="M242">
        <f>DATEDIF(Table1_1[[#This Row],[Order Date]],Table1_1[[#This Row],[Ship Date]],"D")</f>
        <v>5</v>
      </c>
    </row>
    <row r="243" spans="1:13" x14ac:dyDescent="0.35">
      <c r="A243" t="s">
        <v>507</v>
      </c>
      <c r="B243" t="s">
        <v>508</v>
      </c>
      <c r="C243" t="s">
        <v>125</v>
      </c>
      <c r="D243" s="2">
        <v>3783.57</v>
      </c>
      <c r="E243">
        <v>2</v>
      </c>
      <c r="F243">
        <v>0.3</v>
      </c>
      <c r="G243" t="s">
        <v>39</v>
      </c>
      <c r="H243" t="s">
        <v>15</v>
      </c>
      <c r="I243" t="s">
        <v>16</v>
      </c>
      <c r="J243" s="2">
        <f>Table1_1[[#This Row],[Sales]]-Table1_1[[#This Row],[Sales]]*Table1_1[[#This Row],[Discount]]</f>
        <v>2648.4990000000003</v>
      </c>
      <c r="K243" s="1">
        <v>45812</v>
      </c>
      <c r="L243" s="11">
        <v>45815</v>
      </c>
      <c r="M243">
        <f>DATEDIF(Table1_1[[#This Row],[Order Date]],Table1_1[[#This Row],[Ship Date]],"D")</f>
        <v>3</v>
      </c>
    </row>
    <row r="244" spans="1:13" x14ac:dyDescent="0.35">
      <c r="A244" t="s">
        <v>509</v>
      </c>
      <c r="B244" t="s">
        <v>510</v>
      </c>
      <c r="C244" t="s">
        <v>511</v>
      </c>
      <c r="D244" s="2">
        <v>896.27</v>
      </c>
      <c r="E244">
        <v>5</v>
      </c>
      <c r="F244">
        <v>0.3</v>
      </c>
      <c r="G244" t="s">
        <v>19</v>
      </c>
      <c r="H244" t="s">
        <v>15</v>
      </c>
      <c r="I244" t="s">
        <v>16</v>
      </c>
      <c r="J244" s="2">
        <f>Table1_1[[#This Row],[Sales]]-Table1_1[[#This Row],[Sales]]*Table1_1[[#This Row],[Discount]]</f>
        <v>627.38900000000001</v>
      </c>
      <c r="K244" s="1">
        <v>45448</v>
      </c>
      <c r="L244" s="11">
        <v>45452</v>
      </c>
      <c r="M244">
        <f>DATEDIF(Table1_1[[#This Row],[Order Date]],Table1_1[[#This Row],[Ship Date]],"D")</f>
        <v>4</v>
      </c>
    </row>
    <row r="245" spans="1:13" x14ac:dyDescent="0.35">
      <c r="A245" t="s">
        <v>512</v>
      </c>
      <c r="B245" t="s">
        <v>474</v>
      </c>
      <c r="C245" t="s">
        <v>180</v>
      </c>
      <c r="D245" s="2">
        <v>483.42</v>
      </c>
      <c r="E245">
        <v>1</v>
      </c>
      <c r="F245">
        <v>0.1</v>
      </c>
      <c r="G245" t="s">
        <v>14</v>
      </c>
      <c r="H245" t="s">
        <v>21</v>
      </c>
      <c r="I245" t="s">
        <v>20</v>
      </c>
      <c r="J245" s="2">
        <f>Table1_1[[#This Row],[Sales]]-Table1_1[[#This Row],[Sales]]*Table1_1[[#This Row],[Discount]]</f>
        <v>435.07800000000003</v>
      </c>
      <c r="K245" s="1">
        <v>45173</v>
      </c>
      <c r="L245" s="11">
        <v>45177</v>
      </c>
      <c r="M245">
        <f>DATEDIF(Table1_1[[#This Row],[Order Date]],Table1_1[[#This Row],[Ship Date]],"D")</f>
        <v>4</v>
      </c>
    </row>
    <row r="246" spans="1:13" x14ac:dyDescent="0.35">
      <c r="A246" t="s">
        <v>513</v>
      </c>
      <c r="B246" t="s">
        <v>514</v>
      </c>
      <c r="C246" t="s">
        <v>511</v>
      </c>
      <c r="D246" s="2">
        <v>4827.17</v>
      </c>
      <c r="E246">
        <v>7</v>
      </c>
      <c r="F246">
        <v>0.1</v>
      </c>
      <c r="G246" t="s">
        <v>14</v>
      </c>
      <c r="H246" t="s">
        <v>15</v>
      </c>
      <c r="I246" t="s">
        <v>43</v>
      </c>
      <c r="J246" s="2">
        <f>Table1_1[[#This Row],[Sales]]-Table1_1[[#This Row],[Sales]]*Table1_1[[#This Row],[Discount]]</f>
        <v>4344.4530000000004</v>
      </c>
      <c r="K246" s="1">
        <v>45256</v>
      </c>
      <c r="L246" s="11">
        <v>45261</v>
      </c>
      <c r="M246">
        <f>DATEDIF(Table1_1[[#This Row],[Order Date]],Table1_1[[#This Row],[Ship Date]],"D")</f>
        <v>5</v>
      </c>
    </row>
    <row r="247" spans="1:13" x14ac:dyDescent="0.35">
      <c r="A247" t="s">
        <v>515</v>
      </c>
      <c r="B247" t="s">
        <v>380</v>
      </c>
      <c r="C247" t="s">
        <v>226</v>
      </c>
      <c r="D247" s="2">
        <v>3323.56</v>
      </c>
      <c r="E247">
        <v>10</v>
      </c>
      <c r="F247">
        <v>0.1</v>
      </c>
      <c r="G247" t="s">
        <v>19</v>
      </c>
      <c r="H247" t="s">
        <v>15</v>
      </c>
      <c r="I247" t="s">
        <v>16</v>
      </c>
      <c r="J247" s="2">
        <f>Table1_1[[#This Row],[Sales]]-Table1_1[[#This Row],[Sales]]*Table1_1[[#This Row],[Discount]]</f>
        <v>2991.2039999999997</v>
      </c>
      <c r="K247" s="1">
        <v>45509</v>
      </c>
      <c r="L247" s="11">
        <v>45514</v>
      </c>
      <c r="M247">
        <f>DATEDIF(Table1_1[[#This Row],[Order Date]],Table1_1[[#This Row],[Ship Date]],"D")</f>
        <v>5</v>
      </c>
    </row>
    <row r="248" spans="1:13" x14ac:dyDescent="0.35">
      <c r="A248" t="s">
        <v>516</v>
      </c>
      <c r="B248" t="s">
        <v>261</v>
      </c>
      <c r="C248" t="s">
        <v>204</v>
      </c>
      <c r="D248" s="2">
        <v>989.55</v>
      </c>
      <c r="E248">
        <v>7</v>
      </c>
      <c r="F248">
        <v>0</v>
      </c>
      <c r="G248" t="s">
        <v>19</v>
      </c>
      <c r="H248" t="s">
        <v>15</v>
      </c>
      <c r="I248" t="s">
        <v>16</v>
      </c>
      <c r="J248" s="2">
        <f>Table1_1[[#This Row],[Sales]]-Table1_1[[#This Row],[Sales]]*Table1_1[[#This Row],[Discount]]</f>
        <v>989.55</v>
      </c>
      <c r="K248" s="1">
        <v>45285</v>
      </c>
      <c r="L248" s="11">
        <v>45290</v>
      </c>
      <c r="M248">
        <f>DATEDIF(Table1_1[[#This Row],[Order Date]],Table1_1[[#This Row],[Ship Date]],"D")</f>
        <v>5</v>
      </c>
    </row>
    <row r="249" spans="1:13" x14ac:dyDescent="0.35">
      <c r="A249" t="s">
        <v>517</v>
      </c>
      <c r="B249" t="s">
        <v>518</v>
      </c>
      <c r="C249" t="s">
        <v>487</v>
      </c>
      <c r="D249" s="2">
        <v>1342.56</v>
      </c>
      <c r="E249">
        <v>1</v>
      </c>
      <c r="F249">
        <v>0.1</v>
      </c>
      <c r="G249" t="s">
        <v>14</v>
      </c>
      <c r="H249" t="s">
        <v>21</v>
      </c>
      <c r="I249" t="s">
        <v>16</v>
      </c>
      <c r="J249" s="2">
        <f>Table1_1[[#This Row],[Sales]]-Table1_1[[#This Row],[Sales]]*Table1_1[[#This Row],[Discount]]</f>
        <v>1208.3039999999999</v>
      </c>
      <c r="K249" s="1">
        <v>45526</v>
      </c>
      <c r="L249" s="11">
        <v>45531</v>
      </c>
      <c r="M249">
        <f>DATEDIF(Table1_1[[#This Row],[Order Date]],Table1_1[[#This Row],[Ship Date]],"D")</f>
        <v>5</v>
      </c>
    </row>
    <row r="250" spans="1:13" x14ac:dyDescent="0.35">
      <c r="A250" t="s">
        <v>519</v>
      </c>
      <c r="B250" t="s">
        <v>520</v>
      </c>
      <c r="C250" t="s">
        <v>143</v>
      </c>
      <c r="D250" s="2">
        <v>2049.3200000000002</v>
      </c>
      <c r="E250">
        <v>10</v>
      </c>
      <c r="F250">
        <v>0.3</v>
      </c>
      <c r="G250" t="s">
        <v>14</v>
      </c>
      <c r="H250" t="s">
        <v>15</v>
      </c>
      <c r="I250" t="s">
        <v>20</v>
      </c>
      <c r="J250" s="2">
        <f>Table1_1[[#This Row],[Sales]]-Table1_1[[#This Row],[Sales]]*Table1_1[[#This Row],[Discount]]</f>
        <v>1434.5240000000001</v>
      </c>
      <c r="K250" s="1">
        <v>45399</v>
      </c>
      <c r="L250" s="11">
        <v>45400</v>
      </c>
      <c r="M250">
        <f>DATEDIF(Table1_1[[#This Row],[Order Date]],Table1_1[[#This Row],[Ship Date]],"D")</f>
        <v>1</v>
      </c>
    </row>
    <row r="251" spans="1:13" x14ac:dyDescent="0.35">
      <c r="A251" t="s">
        <v>521</v>
      </c>
      <c r="B251" t="s">
        <v>522</v>
      </c>
      <c r="C251" t="s">
        <v>197</v>
      </c>
      <c r="D251" s="2">
        <v>3411.31</v>
      </c>
      <c r="E251">
        <v>1</v>
      </c>
      <c r="F251">
        <v>0.3</v>
      </c>
      <c r="G251" t="s">
        <v>14</v>
      </c>
      <c r="H251" t="s">
        <v>15</v>
      </c>
      <c r="I251" t="s">
        <v>16</v>
      </c>
      <c r="J251" s="2">
        <f>Table1_1[[#This Row],[Sales]]-Table1_1[[#This Row],[Sales]]*Table1_1[[#This Row],[Discount]]</f>
        <v>2387.9169999999999</v>
      </c>
      <c r="K251" s="1">
        <v>45057</v>
      </c>
      <c r="L251" s="11">
        <v>45064</v>
      </c>
      <c r="M251">
        <f>DATEDIF(Table1_1[[#This Row],[Order Date]],Table1_1[[#This Row],[Ship Date]],"D")</f>
        <v>7</v>
      </c>
    </row>
    <row r="252" spans="1:13" x14ac:dyDescent="0.35">
      <c r="A252" t="s">
        <v>523</v>
      </c>
      <c r="B252" t="s">
        <v>422</v>
      </c>
      <c r="C252" t="s">
        <v>246</v>
      </c>
      <c r="D252" s="2">
        <v>2246.04</v>
      </c>
      <c r="E252">
        <v>6</v>
      </c>
      <c r="F252">
        <v>0.3</v>
      </c>
      <c r="G252" t="s">
        <v>19</v>
      </c>
      <c r="H252" t="s">
        <v>15</v>
      </c>
      <c r="I252" t="s">
        <v>16</v>
      </c>
      <c r="J252" s="2">
        <f>Table1_1[[#This Row],[Sales]]-Table1_1[[#This Row],[Sales]]*Table1_1[[#This Row],[Discount]]</f>
        <v>1572.2280000000001</v>
      </c>
      <c r="K252" s="1">
        <v>45812</v>
      </c>
      <c r="L252" s="11">
        <v>45813</v>
      </c>
      <c r="M252">
        <f>DATEDIF(Table1_1[[#This Row],[Order Date]],Table1_1[[#This Row],[Ship Date]],"D")</f>
        <v>1</v>
      </c>
    </row>
    <row r="253" spans="1:13" x14ac:dyDescent="0.35">
      <c r="A253" t="s">
        <v>524</v>
      </c>
      <c r="B253" t="s">
        <v>23</v>
      </c>
      <c r="C253" t="s">
        <v>62</v>
      </c>
      <c r="D253" s="2">
        <v>3322.48</v>
      </c>
      <c r="E253">
        <v>8</v>
      </c>
      <c r="F253">
        <v>0</v>
      </c>
      <c r="G253" t="s">
        <v>39</v>
      </c>
      <c r="H253" t="s">
        <v>21</v>
      </c>
      <c r="I253" t="s">
        <v>16</v>
      </c>
      <c r="J253" s="2">
        <f>Table1_1[[#This Row],[Sales]]-Table1_1[[#This Row],[Sales]]*Table1_1[[#This Row],[Discount]]</f>
        <v>3322.48</v>
      </c>
      <c r="K253" s="1">
        <v>45675</v>
      </c>
      <c r="L253" s="11">
        <v>45680</v>
      </c>
      <c r="M253">
        <f>DATEDIF(Table1_1[[#This Row],[Order Date]],Table1_1[[#This Row],[Ship Date]],"D")</f>
        <v>5</v>
      </c>
    </row>
    <row r="254" spans="1:13" x14ac:dyDescent="0.35">
      <c r="A254" t="s">
        <v>525</v>
      </c>
      <c r="B254" t="s">
        <v>380</v>
      </c>
      <c r="C254" t="s">
        <v>185</v>
      </c>
      <c r="D254" s="2">
        <v>1002.65</v>
      </c>
      <c r="E254">
        <v>10</v>
      </c>
      <c r="F254">
        <v>0</v>
      </c>
      <c r="G254" t="s">
        <v>19</v>
      </c>
      <c r="H254" t="s">
        <v>21</v>
      </c>
      <c r="I254" t="s">
        <v>20</v>
      </c>
      <c r="J254" s="2">
        <f>Table1_1[[#This Row],[Sales]]-Table1_1[[#This Row],[Sales]]*Table1_1[[#This Row],[Discount]]</f>
        <v>1002.65</v>
      </c>
      <c r="K254" s="1">
        <v>45655</v>
      </c>
      <c r="L254" s="11">
        <v>45657</v>
      </c>
      <c r="M254">
        <f>DATEDIF(Table1_1[[#This Row],[Order Date]],Table1_1[[#This Row],[Ship Date]],"D")</f>
        <v>2</v>
      </c>
    </row>
    <row r="255" spans="1:13" x14ac:dyDescent="0.35">
      <c r="A255" t="s">
        <v>526</v>
      </c>
      <c r="B255" t="s">
        <v>159</v>
      </c>
      <c r="C255" t="s">
        <v>441</v>
      </c>
      <c r="D255" s="2">
        <v>3650.38</v>
      </c>
      <c r="E255">
        <v>8</v>
      </c>
      <c r="F255">
        <v>0.3</v>
      </c>
      <c r="G255" t="s">
        <v>19</v>
      </c>
      <c r="H255" t="s">
        <v>15</v>
      </c>
      <c r="I255" t="s">
        <v>20</v>
      </c>
      <c r="J255" s="2">
        <f>Table1_1[[#This Row],[Sales]]-Table1_1[[#This Row],[Sales]]*Table1_1[[#This Row],[Discount]]</f>
        <v>2555.2660000000001</v>
      </c>
      <c r="K255" s="1">
        <v>45761</v>
      </c>
      <c r="L255" s="11">
        <v>45767</v>
      </c>
      <c r="M255">
        <f>DATEDIF(Table1_1[[#This Row],[Order Date]],Table1_1[[#This Row],[Ship Date]],"D")</f>
        <v>6</v>
      </c>
    </row>
    <row r="256" spans="1:13" x14ac:dyDescent="0.35">
      <c r="A256" t="s">
        <v>527</v>
      </c>
      <c r="B256" t="s">
        <v>528</v>
      </c>
      <c r="C256" t="s">
        <v>125</v>
      </c>
      <c r="D256" s="2">
        <v>4766.24</v>
      </c>
      <c r="E256">
        <v>10</v>
      </c>
      <c r="F256">
        <v>0</v>
      </c>
      <c r="G256" t="s">
        <v>14</v>
      </c>
      <c r="H256" t="s">
        <v>15</v>
      </c>
      <c r="I256" t="s">
        <v>43</v>
      </c>
      <c r="J256" s="2">
        <f>Table1_1[[#This Row],[Sales]]-Table1_1[[#This Row],[Sales]]*Table1_1[[#This Row],[Discount]]</f>
        <v>4766.24</v>
      </c>
      <c r="K256" s="1">
        <v>45712</v>
      </c>
      <c r="L256" s="11">
        <v>45717</v>
      </c>
      <c r="M256">
        <f>DATEDIF(Table1_1[[#This Row],[Order Date]],Table1_1[[#This Row],[Ship Date]],"D")</f>
        <v>5</v>
      </c>
    </row>
    <row r="257" spans="1:13" x14ac:dyDescent="0.35">
      <c r="A257" t="s">
        <v>529</v>
      </c>
      <c r="B257" t="s">
        <v>530</v>
      </c>
      <c r="C257" t="s">
        <v>408</v>
      </c>
      <c r="D257" s="2">
        <v>4034.38</v>
      </c>
      <c r="E257">
        <v>5</v>
      </c>
      <c r="F257">
        <v>0.2</v>
      </c>
      <c r="G257" t="s">
        <v>19</v>
      </c>
      <c r="H257" t="s">
        <v>21</v>
      </c>
      <c r="I257" t="s">
        <v>16</v>
      </c>
      <c r="J257" s="2">
        <f>Table1_1[[#This Row],[Sales]]-Table1_1[[#This Row],[Sales]]*Table1_1[[#This Row],[Discount]]</f>
        <v>3227.5039999999999</v>
      </c>
      <c r="K257" s="1">
        <v>45332</v>
      </c>
      <c r="L257" s="11">
        <v>45335</v>
      </c>
      <c r="M257">
        <f>DATEDIF(Table1_1[[#This Row],[Order Date]],Table1_1[[#This Row],[Ship Date]],"D")</f>
        <v>3</v>
      </c>
    </row>
    <row r="258" spans="1:13" x14ac:dyDescent="0.35">
      <c r="A258" t="s">
        <v>531</v>
      </c>
      <c r="B258" t="s">
        <v>532</v>
      </c>
      <c r="C258" t="s">
        <v>113</v>
      </c>
      <c r="D258" s="2">
        <v>742.92</v>
      </c>
      <c r="E258">
        <v>4</v>
      </c>
      <c r="F258">
        <v>0.3</v>
      </c>
      <c r="G258" t="s">
        <v>19</v>
      </c>
      <c r="H258" t="s">
        <v>21</v>
      </c>
      <c r="I258" t="s">
        <v>43</v>
      </c>
      <c r="J258" s="2">
        <f>Table1_1[[#This Row],[Sales]]-Table1_1[[#This Row],[Sales]]*Table1_1[[#This Row],[Discount]]</f>
        <v>520.04399999999998</v>
      </c>
      <c r="K258" s="1">
        <v>45274</v>
      </c>
      <c r="L258" s="11">
        <v>45281</v>
      </c>
      <c r="M258">
        <f>DATEDIF(Table1_1[[#This Row],[Order Date]],Table1_1[[#This Row],[Ship Date]],"D")</f>
        <v>7</v>
      </c>
    </row>
    <row r="259" spans="1:13" x14ac:dyDescent="0.35">
      <c r="A259" t="s">
        <v>533</v>
      </c>
      <c r="B259" t="s">
        <v>469</v>
      </c>
      <c r="C259" t="s">
        <v>185</v>
      </c>
      <c r="D259" s="2">
        <v>2890.82</v>
      </c>
      <c r="E259">
        <v>10</v>
      </c>
      <c r="F259">
        <v>0.1</v>
      </c>
      <c r="G259" t="s">
        <v>39</v>
      </c>
      <c r="H259" t="s">
        <v>21</v>
      </c>
      <c r="I259" t="s">
        <v>43</v>
      </c>
      <c r="J259" s="2">
        <f>Table1_1[[#This Row],[Sales]]-Table1_1[[#This Row],[Sales]]*Table1_1[[#This Row],[Discount]]</f>
        <v>2601.7380000000003</v>
      </c>
      <c r="K259" s="1">
        <v>44971</v>
      </c>
      <c r="L259" s="11">
        <v>44978</v>
      </c>
      <c r="M259">
        <f>DATEDIF(Table1_1[[#This Row],[Order Date]],Table1_1[[#This Row],[Ship Date]],"D")</f>
        <v>7</v>
      </c>
    </row>
    <row r="260" spans="1:13" x14ac:dyDescent="0.35">
      <c r="A260" t="s">
        <v>534</v>
      </c>
      <c r="B260" t="s">
        <v>535</v>
      </c>
      <c r="C260" t="s">
        <v>60</v>
      </c>
      <c r="D260" s="2">
        <v>1345.81</v>
      </c>
      <c r="E260">
        <v>8</v>
      </c>
      <c r="F260">
        <v>0.1</v>
      </c>
      <c r="G260" t="s">
        <v>19</v>
      </c>
      <c r="H260" t="s">
        <v>21</v>
      </c>
      <c r="I260" t="s">
        <v>43</v>
      </c>
      <c r="J260" s="2">
        <f>Table1_1[[#This Row],[Sales]]-Table1_1[[#This Row],[Sales]]*Table1_1[[#This Row],[Discount]]</f>
        <v>1211.229</v>
      </c>
      <c r="K260" s="1">
        <v>45790</v>
      </c>
      <c r="L260" s="11">
        <v>45794</v>
      </c>
      <c r="M260">
        <f>DATEDIF(Table1_1[[#This Row],[Order Date]],Table1_1[[#This Row],[Ship Date]],"D")</f>
        <v>4</v>
      </c>
    </row>
    <row r="261" spans="1:13" x14ac:dyDescent="0.35">
      <c r="A261" t="s">
        <v>536</v>
      </c>
      <c r="B261" t="s">
        <v>140</v>
      </c>
      <c r="C261" t="s">
        <v>185</v>
      </c>
      <c r="D261" s="2">
        <v>4171.93</v>
      </c>
      <c r="E261">
        <v>1</v>
      </c>
      <c r="F261">
        <v>0.2</v>
      </c>
      <c r="G261" t="s">
        <v>14</v>
      </c>
      <c r="H261" t="s">
        <v>15</v>
      </c>
      <c r="I261" t="s">
        <v>20</v>
      </c>
      <c r="J261" s="2">
        <f>Table1_1[[#This Row],[Sales]]-Table1_1[[#This Row],[Sales]]*Table1_1[[#This Row],[Discount]]</f>
        <v>3337.5440000000003</v>
      </c>
      <c r="K261" s="1">
        <v>45041</v>
      </c>
      <c r="L261" s="11">
        <v>45043</v>
      </c>
      <c r="M261">
        <f>DATEDIF(Table1_1[[#This Row],[Order Date]],Table1_1[[#This Row],[Ship Date]],"D")</f>
        <v>2</v>
      </c>
    </row>
    <row r="262" spans="1:13" x14ac:dyDescent="0.35">
      <c r="A262" t="s">
        <v>537</v>
      </c>
      <c r="B262" t="s">
        <v>538</v>
      </c>
      <c r="C262" t="s">
        <v>73</v>
      </c>
      <c r="D262" s="2">
        <v>4170.1099999999997</v>
      </c>
      <c r="E262">
        <v>1</v>
      </c>
      <c r="F262">
        <v>0</v>
      </c>
      <c r="G262" t="s">
        <v>14</v>
      </c>
      <c r="H262" t="s">
        <v>21</v>
      </c>
      <c r="I262" t="s">
        <v>20</v>
      </c>
      <c r="J262" s="2">
        <f>Table1_1[[#This Row],[Sales]]-Table1_1[[#This Row],[Sales]]*Table1_1[[#This Row],[Discount]]</f>
        <v>4170.1099999999997</v>
      </c>
      <c r="K262" s="1">
        <v>45484</v>
      </c>
      <c r="L262" s="11">
        <v>45488</v>
      </c>
      <c r="M262">
        <f>DATEDIF(Table1_1[[#This Row],[Order Date]],Table1_1[[#This Row],[Ship Date]],"D")</f>
        <v>4</v>
      </c>
    </row>
    <row r="263" spans="1:13" x14ac:dyDescent="0.35">
      <c r="A263" t="s">
        <v>539</v>
      </c>
      <c r="B263" t="s">
        <v>363</v>
      </c>
      <c r="C263" t="s">
        <v>163</v>
      </c>
      <c r="D263" s="2">
        <v>2414.65</v>
      </c>
      <c r="E263">
        <v>6</v>
      </c>
      <c r="F263">
        <v>0</v>
      </c>
      <c r="G263" t="s">
        <v>19</v>
      </c>
      <c r="H263" t="s">
        <v>21</v>
      </c>
      <c r="I263" t="s">
        <v>16</v>
      </c>
      <c r="J263" s="2">
        <f>Table1_1[[#This Row],[Sales]]-Table1_1[[#This Row],[Sales]]*Table1_1[[#This Row],[Discount]]</f>
        <v>2414.65</v>
      </c>
      <c r="K263" s="1">
        <v>44927</v>
      </c>
      <c r="L263" s="11">
        <v>44930</v>
      </c>
      <c r="M263">
        <f>DATEDIF(Table1_1[[#This Row],[Order Date]],Table1_1[[#This Row],[Ship Date]],"D")</f>
        <v>3</v>
      </c>
    </row>
    <row r="264" spans="1:13" x14ac:dyDescent="0.35">
      <c r="A264" t="s">
        <v>540</v>
      </c>
      <c r="B264" t="s">
        <v>541</v>
      </c>
      <c r="C264" t="s">
        <v>542</v>
      </c>
      <c r="D264" s="2">
        <v>3467.64</v>
      </c>
      <c r="E264">
        <v>9</v>
      </c>
      <c r="F264">
        <v>0.3</v>
      </c>
      <c r="G264" t="s">
        <v>19</v>
      </c>
      <c r="H264" t="s">
        <v>21</v>
      </c>
      <c r="I264" t="s">
        <v>43</v>
      </c>
      <c r="J264" s="2">
        <f>Table1_1[[#This Row],[Sales]]-Table1_1[[#This Row],[Sales]]*Table1_1[[#This Row],[Discount]]</f>
        <v>2427.348</v>
      </c>
      <c r="K264" s="1">
        <v>45385</v>
      </c>
      <c r="L264" s="11">
        <v>45392</v>
      </c>
      <c r="M264">
        <f>DATEDIF(Table1_1[[#This Row],[Order Date]],Table1_1[[#This Row],[Ship Date]],"D")</f>
        <v>7</v>
      </c>
    </row>
    <row r="265" spans="1:13" x14ac:dyDescent="0.35">
      <c r="A265" t="s">
        <v>543</v>
      </c>
      <c r="B265" t="s">
        <v>544</v>
      </c>
      <c r="C265" t="s">
        <v>99</v>
      </c>
      <c r="D265" s="2">
        <v>2086.7600000000002</v>
      </c>
      <c r="E265">
        <v>8</v>
      </c>
      <c r="F265">
        <v>0.3</v>
      </c>
      <c r="G265" t="s">
        <v>14</v>
      </c>
      <c r="H265" t="s">
        <v>21</v>
      </c>
      <c r="I265" t="s">
        <v>16</v>
      </c>
      <c r="J265" s="2">
        <f>Table1_1[[#This Row],[Sales]]-Table1_1[[#This Row],[Sales]]*Table1_1[[#This Row],[Discount]]</f>
        <v>1460.7320000000002</v>
      </c>
      <c r="K265" s="1">
        <v>45823</v>
      </c>
      <c r="L265" s="11">
        <v>45826</v>
      </c>
      <c r="M265">
        <f>DATEDIF(Table1_1[[#This Row],[Order Date]],Table1_1[[#This Row],[Ship Date]],"D")</f>
        <v>3</v>
      </c>
    </row>
    <row r="266" spans="1:13" x14ac:dyDescent="0.35">
      <c r="A266" t="s">
        <v>545</v>
      </c>
      <c r="B266" t="s">
        <v>284</v>
      </c>
      <c r="C266" t="s">
        <v>408</v>
      </c>
      <c r="D266" s="2">
        <v>3617.7</v>
      </c>
      <c r="E266">
        <v>8</v>
      </c>
      <c r="F266">
        <v>0.3</v>
      </c>
      <c r="G266" t="s">
        <v>14</v>
      </c>
      <c r="H266" t="s">
        <v>15</v>
      </c>
      <c r="I266" t="s">
        <v>43</v>
      </c>
      <c r="J266" s="2">
        <f>Table1_1[[#This Row],[Sales]]-Table1_1[[#This Row],[Sales]]*Table1_1[[#This Row],[Discount]]</f>
        <v>2532.39</v>
      </c>
      <c r="K266" s="1">
        <v>45060</v>
      </c>
      <c r="L266" s="11">
        <v>45067</v>
      </c>
      <c r="M266">
        <f>DATEDIF(Table1_1[[#This Row],[Order Date]],Table1_1[[#This Row],[Ship Date]],"D")</f>
        <v>7</v>
      </c>
    </row>
    <row r="267" spans="1:13" x14ac:dyDescent="0.35">
      <c r="A267" t="s">
        <v>546</v>
      </c>
      <c r="B267" t="s">
        <v>331</v>
      </c>
      <c r="C267" t="s">
        <v>82</v>
      </c>
      <c r="D267" s="2">
        <v>869.47</v>
      </c>
      <c r="E267">
        <v>2</v>
      </c>
      <c r="F267">
        <v>0</v>
      </c>
      <c r="G267" t="s">
        <v>39</v>
      </c>
      <c r="H267" t="s">
        <v>15</v>
      </c>
      <c r="I267" t="s">
        <v>16</v>
      </c>
      <c r="J267" s="2">
        <f>Table1_1[[#This Row],[Sales]]-Table1_1[[#This Row],[Sales]]*Table1_1[[#This Row],[Discount]]</f>
        <v>869.47</v>
      </c>
      <c r="K267" s="1">
        <v>45586</v>
      </c>
      <c r="L267" s="11">
        <v>45590</v>
      </c>
      <c r="M267">
        <f>DATEDIF(Table1_1[[#This Row],[Order Date]],Table1_1[[#This Row],[Ship Date]],"D")</f>
        <v>4</v>
      </c>
    </row>
    <row r="268" spans="1:13" x14ac:dyDescent="0.35">
      <c r="A268" t="s">
        <v>547</v>
      </c>
      <c r="B268" t="s">
        <v>548</v>
      </c>
      <c r="C268" t="s">
        <v>99</v>
      </c>
      <c r="D268" s="2">
        <v>2383.33</v>
      </c>
      <c r="E268">
        <v>4</v>
      </c>
      <c r="F268">
        <v>0</v>
      </c>
      <c r="G268" t="s">
        <v>19</v>
      </c>
      <c r="H268" t="s">
        <v>21</v>
      </c>
      <c r="I268" t="s">
        <v>16</v>
      </c>
      <c r="J268" s="2">
        <f>Table1_1[[#This Row],[Sales]]-Table1_1[[#This Row],[Sales]]*Table1_1[[#This Row],[Discount]]</f>
        <v>2383.33</v>
      </c>
      <c r="K268" s="1">
        <v>44960</v>
      </c>
      <c r="L268" s="11">
        <v>44965</v>
      </c>
      <c r="M268">
        <f>DATEDIF(Table1_1[[#This Row],[Order Date]],Table1_1[[#This Row],[Ship Date]],"D")</f>
        <v>5</v>
      </c>
    </row>
    <row r="269" spans="1:13" x14ac:dyDescent="0.35">
      <c r="A269" t="s">
        <v>549</v>
      </c>
      <c r="B269" t="s">
        <v>550</v>
      </c>
      <c r="C269" t="s">
        <v>458</v>
      </c>
      <c r="D269" s="2">
        <v>4916.04</v>
      </c>
      <c r="E269">
        <v>1</v>
      </c>
      <c r="F269">
        <v>0.3</v>
      </c>
      <c r="G269" t="s">
        <v>14</v>
      </c>
      <c r="H269" t="s">
        <v>21</v>
      </c>
      <c r="I269" t="s">
        <v>20</v>
      </c>
      <c r="J269" s="2">
        <f>Table1_1[[#This Row],[Sales]]-Table1_1[[#This Row],[Sales]]*Table1_1[[#This Row],[Discount]]</f>
        <v>3441.2280000000001</v>
      </c>
      <c r="K269" s="1">
        <v>45378</v>
      </c>
      <c r="L269" s="11">
        <v>45379</v>
      </c>
      <c r="M269">
        <f>DATEDIF(Table1_1[[#This Row],[Order Date]],Table1_1[[#This Row],[Ship Date]],"D")</f>
        <v>1</v>
      </c>
    </row>
    <row r="270" spans="1:13" x14ac:dyDescent="0.35">
      <c r="A270" t="s">
        <v>551</v>
      </c>
      <c r="B270" t="s">
        <v>206</v>
      </c>
      <c r="C270" t="s">
        <v>376</v>
      </c>
      <c r="D270" s="2">
        <v>4256.67</v>
      </c>
      <c r="E270">
        <v>3</v>
      </c>
      <c r="F270">
        <v>0.2</v>
      </c>
      <c r="G270" t="s">
        <v>14</v>
      </c>
      <c r="H270" t="s">
        <v>21</v>
      </c>
      <c r="I270" t="s">
        <v>16</v>
      </c>
      <c r="J270" s="2">
        <f>Table1_1[[#This Row],[Sales]]-Table1_1[[#This Row],[Sales]]*Table1_1[[#This Row],[Discount]]</f>
        <v>3405.3360000000002</v>
      </c>
      <c r="K270" s="1">
        <v>45222</v>
      </c>
      <c r="L270" s="11">
        <v>45227</v>
      </c>
      <c r="M270">
        <f>DATEDIF(Table1_1[[#This Row],[Order Date]],Table1_1[[#This Row],[Ship Date]],"D")</f>
        <v>5</v>
      </c>
    </row>
    <row r="271" spans="1:13" x14ac:dyDescent="0.35">
      <c r="A271" t="s">
        <v>552</v>
      </c>
      <c r="B271" t="s">
        <v>270</v>
      </c>
      <c r="C271" t="s">
        <v>31</v>
      </c>
      <c r="D271" s="2">
        <v>1676.01</v>
      </c>
      <c r="E271">
        <v>4</v>
      </c>
      <c r="F271">
        <v>0.1</v>
      </c>
      <c r="G271" t="s">
        <v>39</v>
      </c>
      <c r="H271" t="s">
        <v>21</v>
      </c>
      <c r="I271" t="s">
        <v>20</v>
      </c>
      <c r="J271" s="2">
        <f>Table1_1[[#This Row],[Sales]]-Table1_1[[#This Row],[Sales]]*Table1_1[[#This Row],[Discount]]</f>
        <v>1508.4090000000001</v>
      </c>
      <c r="K271" s="1">
        <v>45324</v>
      </c>
      <c r="L271" s="11">
        <v>45331</v>
      </c>
      <c r="M271">
        <f>DATEDIF(Table1_1[[#This Row],[Order Date]],Table1_1[[#This Row],[Ship Date]],"D")</f>
        <v>7</v>
      </c>
    </row>
    <row r="272" spans="1:13" x14ac:dyDescent="0.35">
      <c r="A272" t="s">
        <v>553</v>
      </c>
      <c r="B272" t="s">
        <v>12</v>
      </c>
      <c r="C272" t="s">
        <v>341</v>
      </c>
      <c r="D272" s="2">
        <v>1675.33</v>
      </c>
      <c r="E272">
        <v>10</v>
      </c>
      <c r="F272">
        <v>0.2</v>
      </c>
      <c r="G272" t="s">
        <v>19</v>
      </c>
      <c r="H272" t="s">
        <v>21</v>
      </c>
      <c r="I272" t="s">
        <v>43</v>
      </c>
      <c r="J272" s="2">
        <f>Table1_1[[#This Row],[Sales]]-Table1_1[[#This Row],[Sales]]*Table1_1[[#This Row],[Discount]]</f>
        <v>1340.2639999999999</v>
      </c>
      <c r="K272" s="1">
        <v>45730</v>
      </c>
      <c r="L272" s="11">
        <v>45735</v>
      </c>
      <c r="M272">
        <f>DATEDIF(Table1_1[[#This Row],[Order Date]],Table1_1[[#This Row],[Ship Date]],"D")</f>
        <v>5</v>
      </c>
    </row>
    <row r="273" spans="1:13" x14ac:dyDescent="0.35">
      <c r="A273" t="s">
        <v>554</v>
      </c>
      <c r="B273" t="s">
        <v>67</v>
      </c>
      <c r="C273" t="s">
        <v>128</v>
      </c>
      <c r="D273" s="2">
        <v>476.3</v>
      </c>
      <c r="E273">
        <v>2</v>
      </c>
      <c r="F273">
        <v>0.3</v>
      </c>
      <c r="G273" t="s">
        <v>19</v>
      </c>
      <c r="H273" t="s">
        <v>21</v>
      </c>
      <c r="I273" t="s">
        <v>16</v>
      </c>
      <c r="J273" s="2">
        <f>Table1_1[[#This Row],[Sales]]-Table1_1[[#This Row],[Sales]]*Table1_1[[#This Row],[Discount]]</f>
        <v>333.41</v>
      </c>
      <c r="K273" s="1">
        <v>45641</v>
      </c>
      <c r="L273" s="11">
        <v>45648</v>
      </c>
      <c r="M273">
        <f>DATEDIF(Table1_1[[#This Row],[Order Date]],Table1_1[[#This Row],[Ship Date]],"D")</f>
        <v>7</v>
      </c>
    </row>
    <row r="274" spans="1:13" x14ac:dyDescent="0.35">
      <c r="A274" t="s">
        <v>555</v>
      </c>
      <c r="B274" t="s">
        <v>556</v>
      </c>
      <c r="C274" t="s">
        <v>268</v>
      </c>
      <c r="D274" s="2">
        <v>4384.38</v>
      </c>
      <c r="E274">
        <v>8</v>
      </c>
      <c r="F274">
        <v>0</v>
      </c>
      <c r="G274" t="s">
        <v>19</v>
      </c>
      <c r="H274" t="s">
        <v>15</v>
      </c>
      <c r="I274" t="s">
        <v>16</v>
      </c>
      <c r="J274" s="2">
        <f>Table1_1[[#This Row],[Sales]]-Table1_1[[#This Row],[Sales]]*Table1_1[[#This Row],[Discount]]</f>
        <v>4384.38</v>
      </c>
      <c r="K274" s="1">
        <v>45487</v>
      </c>
      <c r="L274" s="11">
        <v>45489</v>
      </c>
      <c r="M274">
        <f>DATEDIF(Table1_1[[#This Row],[Order Date]],Table1_1[[#This Row],[Ship Date]],"D")</f>
        <v>2</v>
      </c>
    </row>
    <row r="275" spans="1:13" x14ac:dyDescent="0.35">
      <c r="A275" t="s">
        <v>557</v>
      </c>
      <c r="B275" t="s">
        <v>426</v>
      </c>
      <c r="C275" t="s">
        <v>341</v>
      </c>
      <c r="D275" s="2">
        <v>1789.14</v>
      </c>
      <c r="E275">
        <v>6</v>
      </c>
      <c r="F275">
        <v>0.2</v>
      </c>
      <c r="G275" t="s">
        <v>39</v>
      </c>
      <c r="H275" t="s">
        <v>21</v>
      </c>
      <c r="I275" t="s">
        <v>16</v>
      </c>
      <c r="J275" s="2">
        <f>Table1_1[[#This Row],[Sales]]-Table1_1[[#This Row],[Sales]]*Table1_1[[#This Row],[Discount]]</f>
        <v>1431.3120000000001</v>
      </c>
      <c r="K275" s="1">
        <v>45506</v>
      </c>
      <c r="L275" s="11">
        <v>45512</v>
      </c>
      <c r="M275">
        <f>DATEDIF(Table1_1[[#This Row],[Order Date]],Table1_1[[#This Row],[Ship Date]],"D")</f>
        <v>6</v>
      </c>
    </row>
    <row r="276" spans="1:13" x14ac:dyDescent="0.35">
      <c r="A276" t="s">
        <v>558</v>
      </c>
      <c r="B276" t="s">
        <v>559</v>
      </c>
      <c r="C276" t="s">
        <v>102</v>
      </c>
      <c r="D276" s="2">
        <v>4602.78</v>
      </c>
      <c r="E276">
        <v>1</v>
      </c>
      <c r="F276">
        <v>0.3</v>
      </c>
      <c r="G276" t="s">
        <v>14</v>
      </c>
      <c r="H276" t="s">
        <v>15</v>
      </c>
      <c r="I276" t="s">
        <v>20</v>
      </c>
      <c r="J276" s="2">
        <f>Table1_1[[#This Row],[Sales]]-Table1_1[[#This Row],[Sales]]*Table1_1[[#This Row],[Discount]]</f>
        <v>3221.9459999999999</v>
      </c>
      <c r="K276" s="1">
        <v>45498</v>
      </c>
      <c r="L276" s="11">
        <v>45500</v>
      </c>
      <c r="M276">
        <f>DATEDIF(Table1_1[[#This Row],[Order Date]],Table1_1[[#This Row],[Ship Date]],"D")</f>
        <v>2</v>
      </c>
    </row>
    <row r="277" spans="1:13" x14ac:dyDescent="0.35">
      <c r="A277" t="s">
        <v>560</v>
      </c>
      <c r="B277" t="s">
        <v>561</v>
      </c>
      <c r="C277" t="s">
        <v>60</v>
      </c>
      <c r="D277" s="2">
        <v>2720.67</v>
      </c>
      <c r="E277">
        <v>2</v>
      </c>
      <c r="F277">
        <v>0.1</v>
      </c>
      <c r="G277" t="s">
        <v>39</v>
      </c>
      <c r="H277" t="s">
        <v>15</v>
      </c>
      <c r="I277" t="s">
        <v>20</v>
      </c>
      <c r="J277" s="2">
        <f>Table1_1[[#This Row],[Sales]]-Table1_1[[#This Row],[Sales]]*Table1_1[[#This Row],[Discount]]</f>
        <v>2448.6030000000001</v>
      </c>
      <c r="K277" s="1">
        <v>45812</v>
      </c>
      <c r="L277" s="11">
        <v>45816</v>
      </c>
      <c r="M277">
        <f>DATEDIF(Table1_1[[#This Row],[Order Date]],Table1_1[[#This Row],[Ship Date]],"D")</f>
        <v>4</v>
      </c>
    </row>
    <row r="278" spans="1:13" x14ac:dyDescent="0.35">
      <c r="A278" t="s">
        <v>562</v>
      </c>
      <c r="B278" t="s">
        <v>322</v>
      </c>
      <c r="C278" t="s">
        <v>262</v>
      </c>
      <c r="D278" s="2">
        <v>3832.17</v>
      </c>
      <c r="E278">
        <v>2</v>
      </c>
      <c r="F278">
        <v>0</v>
      </c>
      <c r="G278" t="s">
        <v>19</v>
      </c>
      <c r="H278" t="s">
        <v>15</v>
      </c>
      <c r="I278" t="s">
        <v>20</v>
      </c>
      <c r="J278" s="2">
        <f>Table1_1[[#This Row],[Sales]]-Table1_1[[#This Row],[Sales]]*Table1_1[[#This Row],[Discount]]</f>
        <v>3832.17</v>
      </c>
      <c r="K278" s="1">
        <v>45268</v>
      </c>
      <c r="L278" s="11">
        <v>45273</v>
      </c>
      <c r="M278">
        <f>DATEDIF(Table1_1[[#This Row],[Order Date]],Table1_1[[#This Row],[Ship Date]],"D")</f>
        <v>5</v>
      </c>
    </row>
    <row r="279" spans="1:13" x14ac:dyDescent="0.35">
      <c r="A279" t="s">
        <v>563</v>
      </c>
      <c r="B279" t="s">
        <v>548</v>
      </c>
      <c r="C279" t="s">
        <v>243</v>
      </c>
      <c r="D279" s="2">
        <v>4456.67</v>
      </c>
      <c r="E279">
        <v>6</v>
      </c>
      <c r="F279">
        <v>0</v>
      </c>
      <c r="G279" t="s">
        <v>14</v>
      </c>
      <c r="H279" t="s">
        <v>15</v>
      </c>
      <c r="I279" t="s">
        <v>20</v>
      </c>
      <c r="J279" s="2">
        <f>Table1_1[[#This Row],[Sales]]-Table1_1[[#This Row],[Sales]]*Table1_1[[#This Row],[Discount]]</f>
        <v>4456.67</v>
      </c>
      <c r="K279" s="1">
        <v>45157</v>
      </c>
      <c r="L279" s="11">
        <v>45158</v>
      </c>
      <c r="M279">
        <f>DATEDIF(Table1_1[[#This Row],[Order Date]],Table1_1[[#This Row],[Ship Date]],"D")</f>
        <v>1</v>
      </c>
    </row>
    <row r="280" spans="1:13" x14ac:dyDescent="0.35">
      <c r="A280" t="s">
        <v>564</v>
      </c>
      <c r="B280" t="s">
        <v>107</v>
      </c>
      <c r="C280" t="s">
        <v>565</v>
      </c>
      <c r="D280" s="2">
        <v>3845.95</v>
      </c>
      <c r="E280">
        <v>10</v>
      </c>
      <c r="F280">
        <v>0.1</v>
      </c>
      <c r="G280" t="s">
        <v>14</v>
      </c>
      <c r="H280" t="s">
        <v>21</v>
      </c>
      <c r="I280" t="s">
        <v>43</v>
      </c>
      <c r="J280" s="2">
        <f>Table1_1[[#This Row],[Sales]]-Table1_1[[#This Row],[Sales]]*Table1_1[[#This Row],[Discount]]</f>
        <v>3461.3549999999996</v>
      </c>
      <c r="K280" s="1">
        <v>45329</v>
      </c>
      <c r="L280" s="11">
        <v>45334</v>
      </c>
      <c r="M280">
        <f>DATEDIF(Table1_1[[#This Row],[Order Date]],Table1_1[[#This Row],[Ship Date]],"D")</f>
        <v>5</v>
      </c>
    </row>
    <row r="281" spans="1:13" x14ac:dyDescent="0.35">
      <c r="A281" t="s">
        <v>566</v>
      </c>
      <c r="B281" t="s">
        <v>556</v>
      </c>
      <c r="C281" t="s">
        <v>291</v>
      </c>
      <c r="D281" s="2">
        <v>1428.86</v>
      </c>
      <c r="E281">
        <v>2</v>
      </c>
      <c r="F281">
        <v>0</v>
      </c>
      <c r="G281" t="s">
        <v>39</v>
      </c>
      <c r="H281" t="s">
        <v>21</v>
      </c>
      <c r="I281" t="s">
        <v>16</v>
      </c>
      <c r="J281" s="2">
        <f>Table1_1[[#This Row],[Sales]]-Table1_1[[#This Row],[Sales]]*Table1_1[[#This Row],[Discount]]</f>
        <v>1428.86</v>
      </c>
      <c r="K281" s="1">
        <v>45034</v>
      </c>
      <c r="L281" s="11">
        <v>45041</v>
      </c>
      <c r="M281">
        <f>DATEDIF(Table1_1[[#This Row],[Order Date]],Table1_1[[#This Row],[Ship Date]],"D")</f>
        <v>7</v>
      </c>
    </row>
    <row r="282" spans="1:13" x14ac:dyDescent="0.35">
      <c r="A282" t="s">
        <v>567</v>
      </c>
      <c r="B282" t="s">
        <v>568</v>
      </c>
      <c r="C282" t="s">
        <v>229</v>
      </c>
      <c r="D282" s="2">
        <v>2384.65</v>
      </c>
      <c r="E282">
        <v>6</v>
      </c>
      <c r="F282">
        <v>0.3</v>
      </c>
      <c r="G282" t="s">
        <v>14</v>
      </c>
      <c r="H282" t="s">
        <v>15</v>
      </c>
      <c r="I282" t="s">
        <v>20</v>
      </c>
      <c r="J282" s="2">
        <f>Table1_1[[#This Row],[Sales]]-Table1_1[[#This Row],[Sales]]*Table1_1[[#This Row],[Discount]]</f>
        <v>1669.2550000000001</v>
      </c>
      <c r="K282" s="1">
        <v>45614</v>
      </c>
      <c r="L282" s="11">
        <v>45615</v>
      </c>
      <c r="M282">
        <f>DATEDIF(Table1_1[[#This Row],[Order Date]],Table1_1[[#This Row],[Ship Date]],"D")</f>
        <v>1</v>
      </c>
    </row>
    <row r="283" spans="1:13" x14ac:dyDescent="0.35">
      <c r="A283" t="s">
        <v>569</v>
      </c>
      <c r="B283" t="s">
        <v>570</v>
      </c>
      <c r="C283" t="s">
        <v>291</v>
      </c>
      <c r="D283" s="2">
        <v>3514.85</v>
      </c>
      <c r="E283">
        <v>7</v>
      </c>
      <c r="F283">
        <v>0.1</v>
      </c>
      <c r="G283" t="s">
        <v>39</v>
      </c>
      <c r="H283" t="s">
        <v>15</v>
      </c>
      <c r="I283" t="s">
        <v>43</v>
      </c>
      <c r="J283" s="2">
        <f>Table1_1[[#This Row],[Sales]]-Table1_1[[#This Row],[Sales]]*Table1_1[[#This Row],[Discount]]</f>
        <v>3163.3649999999998</v>
      </c>
      <c r="K283" s="1">
        <v>45286</v>
      </c>
      <c r="L283" s="11">
        <v>45293</v>
      </c>
      <c r="M283">
        <f>DATEDIF(Table1_1[[#This Row],[Order Date]],Table1_1[[#This Row],[Ship Date]],"D")</f>
        <v>7</v>
      </c>
    </row>
    <row r="284" spans="1:13" x14ac:dyDescent="0.35">
      <c r="A284" t="s">
        <v>571</v>
      </c>
      <c r="B284" t="s">
        <v>86</v>
      </c>
      <c r="C284" t="s">
        <v>487</v>
      </c>
      <c r="D284" s="2">
        <v>1363.91</v>
      </c>
      <c r="E284">
        <v>9</v>
      </c>
      <c r="F284">
        <v>0.2</v>
      </c>
      <c r="G284" t="s">
        <v>19</v>
      </c>
      <c r="H284" t="s">
        <v>21</v>
      </c>
      <c r="I284" t="s">
        <v>20</v>
      </c>
      <c r="J284" s="2">
        <f>Table1_1[[#This Row],[Sales]]-Table1_1[[#This Row],[Sales]]*Table1_1[[#This Row],[Discount]]</f>
        <v>1091.1280000000002</v>
      </c>
      <c r="K284" s="1">
        <v>45206</v>
      </c>
      <c r="L284" s="11">
        <v>45212</v>
      </c>
      <c r="M284">
        <f>DATEDIF(Table1_1[[#This Row],[Order Date]],Table1_1[[#This Row],[Ship Date]],"D")</f>
        <v>6</v>
      </c>
    </row>
    <row r="285" spans="1:13" x14ac:dyDescent="0.35">
      <c r="A285" t="s">
        <v>572</v>
      </c>
      <c r="B285" t="s">
        <v>374</v>
      </c>
      <c r="C285" t="s">
        <v>281</v>
      </c>
      <c r="D285" s="2">
        <v>4279.01</v>
      </c>
      <c r="E285">
        <v>10</v>
      </c>
      <c r="F285">
        <v>0</v>
      </c>
      <c r="G285" t="s">
        <v>14</v>
      </c>
      <c r="H285" t="s">
        <v>21</v>
      </c>
      <c r="I285" t="s">
        <v>43</v>
      </c>
      <c r="J285" s="2">
        <f>Table1_1[[#This Row],[Sales]]-Table1_1[[#This Row],[Sales]]*Table1_1[[#This Row],[Discount]]</f>
        <v>4279.01</v>
      </c>
      <c r="K285" s="1">
        <v>45575</v>
      </c>
      <c r="L285" s="11">
        <v>45580</v>
      </c>
      <c r="M285">
        <f>DATEDIF(Table1_1[[#This Row],[Order Date]],Table1_1[[#This Row],[Ship Date]],"D")</f>
        <v>5</v>
      </c>
    </row>
    <row r="286" spans="1:13" x14ac:dyDescent="0.35">
      <c r="A286" t="s">
        <v>573</v>
      </c>
      <c r="B286" t="s">
        <v>101</v>
      </c>
      <c r="C286" t="s">
        <v>441</v>
      </c>
      <c r="D286" s="2">
        <v>1870.72</v>
      </c>
      <c r="E286">
        <v>4</v>
      </c>
      <c r="F286">
        <v>0</v>
      </c>
      <c r="G286" t="s">
        <v>14</v>
      </c>
      <c r="H286" t="s">
        <v>21</v>
      </c>
      <c r="I286" t="s">
        <v>43</v>
      </c>
      <c r="J286" s="2">
        <f>Table1_1[[#This Row],[Sales]]-Table1_1[[#This Row],[Sales]]*Table1_1[[#This Row],[Discount]]</f>
        <v>1870.72</v>
      </c>
      <c r="K286" s="1">
        <v>45027</v>
      </c>
      <c r="L286" s="11">
        <v>45034</v>
      </c>
      <c r="M286">
        <f>DATEDIF(Table1_1[[#This Row],[Order Date]],Table1_1[[#This Row],[Ship Date]],"D")</f>
        <v>7</v>
      </c>
    </row>
    <row r="287" spans="1:13" x14ac:dyDescent="0.35">
      <c r="A287" t="s">
        <v>574</v>
      </c>
      <c r="B287" t="s">
        <v>575</v>
      </c>
      <c r="C287" t="s">
        <v>146</v>
      </c>
      <c r="D287" s="2">
        <v>764.77</v>
      </c>
      <c r="E287">
        <v>8</v>
      </c>
      <c r="F287">
        <v>0.1</v>
      </c>
      <c r="G287" t="s">
        <v>19</v>
      </c>
      <c r="H287" t="s">
        <v>15</v>
      </c>
      <c r="I287" t="s">
        <v>20</v>
      </c>
      <c r="J287" s="2">
        <f>Table1_1[[#This Row],[Sales]]-Table1_1[[#This Row],[Sales]]*Table1_1[[#This Row],[Discount]]</f>
        <v>688.29300000000001</v>
      </c>
      <c r="K287" s="1">
        <v>45503</v>
      </c>
      <c r="L287" s="11">
        <v>45505</v>
      </c>
      <c r="M287">
        <f>DATEDIF(Table1_1[[#This Row],[Order Date]],Table1_1[[#This Row],[Ship Date]],"D")</f>
        <v>2</v>
      </c>
    </row>
    <row r="288" spans="1:13" x14ac:dyDescent="0.35">
      <c r="A288" t="s">
        <v>576</v>
      </c>
      <c r="B288" t="s">
        <v>577</v>
      </c>
      <c r="C288" t="s">
        <v>175</v>
      </c>
      <c r="D288" s="2">
        <v>3741.55</v>
      </c>
      <c r="E288">
        <v>10</v>
      </c>
      <c r="F288">
        <v>0.1</v>
      </c>
      <c r="G288" t="s">
        <v>14</v>
      </c>
      <c r="H288" t="s">
        <v>21</v>
      </c>
      <c r="I288" t="s">
        <v>20</v>
      </c>
      <c r="J288" s="2">
        <f>Table1_1[[#This Row],[Sales]]-Table1_1[[#This Row],[Sales]]*Table1_1[[#This Row],[Discount]]</f>
        <v>3367.395</v>
      </c>
      <c r="K288" s="1">
        <v>44976</v>
      </c>
      <c r="L288" s="11">
        <v>44978</v>
      </c>
      <c r="M288">
        <f>DATEDIF(Table1_1[[#This Row],[Order Date]],Table1_1[[#This Row],[Ship Date]],"D")</f>
        <v>2</v>
      </c>
    </row>
    <row r="289" spans="1:13" x14ac:dyDescent="0.35">
      <c r="A289" t="s">
        <v>578</v>
      </c>
      <c r="B289" t="s">
        <v>295</v>
      </c>
      <c r="C289" t="s">
        <v>211</v>
      </c>
      <c r="D289" s="2">
        <v>2917.55</v>
      </c>
      <c r="E289">
        <v>7</v>
      </c>
      <c r="F289">
        <v>0.1</v>
      </c>
      <c r="G289" t="s">
        <v>39</v>
      </c>
      <c r="H289" t="s">
        <v>21</v>
      </c>
      <c r="I289" t="s">
        <v>20</v>
      </c>
      <c r="J289" s="2">
        <f>Table1_1[[#This Row],[Sales]]-Table1_1[[#This Row],[Sales]]*Table1_1[[#This Row],[Discount]]</f>
        <v>2625.7950000000001</v>
      </c>
      <c r="K289" s="1">
        <v>45670</v>
      </c>
      <c r="L289" s="11">
        <v>45673</v>
      </c>
      <c r="M289">
        <f>DATEDIF(Table1_1[[#This Row],[Order Date]],Table1_1[[#This Row],[Ship Date]],"D")</f>
        <v>3</v>
      </c>
    </row>
    <row r="290" spans="1:13" x14ac:dyDescent="0.35">
      <c r="A290" t="s">
        <v>579</v>
      </c>
      <c r="B290" t="s">
        <v>466</v>
      </c>
      <c r="C290" t="s">
        <v>105</v>
      </c>
      <c r="D290" s="2">
        <v>1888.98</v>
      </c>
      <c r="E290">
        <v>4</v>
      </c>
      <c r="F290">
        <v>0.2</v>
      </c>
      <c r="G290" t="s">
        <v>19</v>
      </c>
      <c r="H290" t="s">
        <v>21</v>
      </c>
      <c r="I290" t="s">
        <v>43</v>
      </c>
      <c r="J290" s="2">
        <f>Table1_1[[#This Row],[Sales]]-Table1_1[[#This Row],[Sales]]*Table1_1[[#This Row],[Discount]]</f>
        <v>1511.184</v>
      </c>
      <c r="K290" s="1">
        <v>45396</v>
      </c>
      <c r="L290" s="11">
        <v>45397</v>
      </c>
      <c r="M290">
        <f>DATEDIF(Table1_1[[#This Row],[Order Date]],Table1_1[[#This Row],[Ship Date]],"D")</f>
        <v>1</v>
      </c>
    </row>
    <row r="291" spans="1:13" x14ac:dyDescent="0.35">
      <c r="A291" t="s">
        <v>580</v>
      </c>
      <c r="B291" t="s">
        <v>382</v>
      </c>
      <c r="C291" t="s">
        <v>291</v>
      </c>
      <c r="D291" s="2">
        <v>966.47</v>
      </c>
      <c r="E291">
        <v>4</v>
      </c>
      <c r="F291">
        <v>0.2</v>
      </c>
      <c r="G291" t="s">
        <v>14</v>
      </c>
      <c r="H291" t="s">
        <v>21</v>
      </c>
      <c r="I291" t="s">
        <v>20</v>
      </c>
      <c r="J291" s="2">
        <f>Table1_1[[#This Row],[Sales]]-Table1_1[[#This Row],[Sales]]*Table1_1[[#This Row],[Discount]]</f>
        <v>773.17600000000004</v>
      </c>
      <c r="K291" s="1">
        <v>45654</v>
      </c>
      <c r="L291" s="11">
        <v>45659</v>
      </c>
      <c r="M291">
        <f>DATEDIF(Table1_1[[#This Row],[Order Date]],Table1_1[[#This Row],[Ship Date]],"D")</f>
        <v>5</v>
      </c>
    </row>
    <row r="292" spans="1:13" x14ac:dyDescent="0.35">
      <c r="A292" t="s">
        <v>581</v>
      </c>
      <c r="B292" t="s">
        <v>345</v>
      </c>
      <c r="C292" t="s">
        <v>246</v>
      </c>
      <c r="D292" s="2">
        <v>1778.08</v>
      </c>
      <c r="E292">
        <v>3</v>
      </c>
      <c r="F292">
        <v>0.1</v>
      </c>
      <c r="G292" t="s">
        <v>14</v>
      </c>
      <c r="H292" t="s">
        <v>21</v>
      </c>
      <c r="I292" t="s">
        <v>16</v>
      </c>
      <c r="J292" s="2">
        <f>Table1_1[[#This Row],[Sales]]-Table1_1[[#This Row],[Sales]]*Table1_1[[#This Row],[Discount]]</f>
        <v>1600.2719999999999</v>
      </c>
      <c r="K292" s="1">
        <v>44978</v>
      </c>
      <c r="L292" s="11">
        <v>44979</v>
      </c>
      <c r="M292">
        <f>DATEDIF(Table1_1[[#This Row],[Order Date]],Table1_1[[#This Row],[Ship Date]],"D")</f>
        <v>1</v>
      </c>
    </row>
    <row r="293" spans="1:13" x14ac:dyDescent="0.35">
      <c r="A293" t="s">
        <v>582</v>
      </c>
      <c r="B293" t="s">
        <v>583</v>
      </c>
      <c r="C293" t="s">
        <v>450</v>
      </c>
      <c r="D293" s="2">
        <v>1261.21</v>
      </c>
      <c r="E293">
        <v>10</v>
      </c>
      <c r="F293">
        <v>0</v>
      </c>
      <c r="G293" t="s">
        <v>19</v>
      </c>
      <c r="H293" t="s">
        <v>21</v>
      </c>
      <c r="I293" t="s">
        <v>20</v>
      </c>
      <c r="J293" s="2">
        <f>Table1_1[[#This Row],[Sales]]-Table1_1[[#This Row],[Sales]]*Table1_1[[#This Row],[Discount]]</f>
        <v>1261.21</v>
      </c>
      <c r="K293" s="1">
        <v>45686</v>
      </c>
      <c r="L293" s="11">
        <v>45688</v>
      </c>
      <c r="M293">
        <f>DATEDIF(Table1_1[[#This Row],[Order Date]],Table1_1[[#This Row],[Ship Date]],"D")</f>
        <v>2</v>
      </c>
    </row>
    <row r="294" spans="1:13" x14ac:dyDescent="0.35">
      <c r="A294" t="s">
        <v>584</v>
      </c>
      <c r="B294" t="s">
        <v>41</v>
      </c>
      <c r="C294" t="s">
        <v>329</v>
      </c>
      <c r="D294" s="2">
        <v>353.94</v>
      </c>
      <c r="E294">
        <v>6</v>
      </c>
      <c r="F294">
        <v>0.3</v>
      </c>
      <c r="G294" t="s">
        <v>39</v>
      </c>
      <c r="H294" t="s">
        <v>15</v>
      </c>
      <c r="I294" t="s">
        <v>16</v>
      </c>
      <c r="J294" s="2">
        <f>Table1_1[[#This Row],[Sales]]-Table1_1[[#This Row],[Sales]]*Table1_1[[#This Row],[Discount]]</f>
        <v>247.75799999999998</v>
      </c>
      <c r="K294" s="1">
        <v>45505</v>
      </c>
      <c r="L294" s="11">
        <v>45508</v>
      </c>
      <c r="M294">
        <f>DATEDIF(Table1_1[[#This Row],[Order Date]],Table1_1[[#This Row],[Ship Date]],"D")</f>
        <v>3</v>
      </c>
    </row>
    <row r="295" spans="1:13" x14ac:dyDescent="0.35">
      <c r="A295" t="s">
        <v>585</v>
      </c>
      <c r="B295" t="s">
        <v>250</v>
      </c>
      <c r="C295" t="s">
        <v>273</v>
      </c>
      <c r="D295" s="2">
        <v>1378.74</v>
      </c>
      <c r="E295">
        <v>5</v>
      </c>
      <c r="F295">
        <v>0.3</v>
      </c>
      <c r="G295" t="s">
        <v>14</v>
      </c>
      <c r="H295" t="s">
        <v>15</v>
      </c>
      <c r="I295" t="s">
        <v>20</v>
      </c>
      <c r="J295" s="2">
        <f>Table1_1[[#This Row],[Sales]]-Table1_1[[#This Row],[Sales]]*Table1_1[[#This Row],[Discount]]</f>
        <v>965.11799999999994</v>
      </c>
      <c r="K295" s="1">
        <v>45304</v>
      </c>
      <c r="L295" s="11">
        <v>45311</v>
      </c>
      <c r="M295">
        <f>DATEDIF(Table1_1[[#This Row],[Order Date]],Table1_1[[#This Row],[Ship Date]],"D")</f>
        <v>7</v>
      </c>
    </row>
    <row r="296" spans="1:13" x14ac:dyDescent="0.35">
      <c r="A296" t="s">
        <v>586</v>
      </c>
      <c r="B296" t="s">
        <v>203</v>
      </c>
      <c r="C296" t="s">
        <v>99</v>
      </c>
      <c r="D296" s="2">
        <v>686.16</v>
      </c>
      <c r="E296">
        <v>4</v>
      </c>
      <c r="F296">
        <v>0.2</v>
      </c>
      <c r="G296" t="s">
        <v>39</v>
      </c>
      <c r="H296" t="s">
        <v>21</v>
      </c>
      <c r="I296" t="s">
        <v>16</v>
      </c>
      <c r="J296" s="2">
        <f>Table1_1[[#This Row],[Sales]]-Table1_1[[#This Row],[Sales]]*Table1_1[[#This Row],[Discount]]</f>
        <v>548.928</v>
      </c>
      <c r="K296" s="1">
        <v>45033</v>
      </c>
      <c r="L296" s="11">
        <v>45038</v>
      </c>
      <c r="M296">
        <f>DATEDIF(Table1_1[[#This Row],[Order Date]],Table1_1[[#This Row],[Ship Date]],"D")</f>
        <v>5</v>
      </c>
    </row>
    <row r="297" spans="1:13" x14ac:dyDescent="0.35">
      <c r="A297" t="s">
        <v>587</v>
      </c>
      <c r="B297" t="s">
        <v>588</v>
      </c>
      <c r="C297" t="s">
        <v>214</v>
      </c>
      <c r="D297" s="2">
        <v>4231.6400000000003</v>
      </c>
      <c r="E297">
        <v>7</v>
      </c>
      <c r="F297">
        <v>0.2</v>
      </c>
      <c r="G297" t="s">
        <v>14</v>
      </c>
      <c r="H297" t="s">
        <v>21</v>
      </c>
      <c r="I297" t="s">
        <v>43</v>
      </c>
      <c r="J297" s="2">
        <f>Table1_1[[#This Row],[Sales]]-Table1_1[[#This Row],[Sales]]*Table1_1[[#This Row],[Discount]]</f>
        <v>3385.3120000000004</v>
      </c>
      <c r="K297" s="1">
        <v>45771</v>
      </c>
      <c r="L297" s="11">
        <v>45778</v>
      </c>
      <c r="M297">
        <f>DATEDIF(Table1_1[[#This Row],[Order Date]],Table1_1[[#This Row],[Ship Date]],"D")</f>
        <v>7</v>
      </c>
    </row>
    <row r="298" spans="1:13" x14ac:dyDescent="0.35">
      <c r="A298" t="s">
        <v>589</v>
      </c>
      <c r="B298" t="s">
        <v>590</v>
      </c>
      <c r="C298" t="s">
        <v>178</v>
      </c>
      <c r="D298" s="2">
        <v>1848.94</v>
      </c>
      <c r="E298">
        <v>7</v>
      </c>
      <c r="F298">
        <v>0.1</v>
      </c>
      <c r="G298" t="s">
        <v>14</v>
      </c>
      <c r="H298" t="s">
        <v>15</v>
      </c>
      <c r="I298" t="s">
        <v>16</v>
      </c>
      <c r="J298" s="2">
        <f>Table1_1[[#This Row],[Sales]]-Table1_1[[#This Row],[Sales]]*Table1_1[[#This Row],[Discount]]</f>
        <v>1664.046</v>
      </c>
      <c r="K298" s="1">
        <v>45081</v>
      </c>
      <c r="L298" s="11">
        <v>45087</v>
      </c>
      <c r="M298">
        <f>DATEDIF(Table1_1[[#This Row],[Order Date]],Table1_1[[#This Row],[Ship Date]],"D")</f>
        <v>6</v>
      </c>
    </row>
    <row r="299" spans="1:13" x14ac:dyDescent="0.35">
      <c r="A299" t="s">
        <v>591</v>
      </c>
      <c r="B299" t="s">
        <v>239</v>
      </c>
      <c r="C299" t="s">
        <v>448</v>
      </c>
      <c r="D299" s="2">
        <v>2798.19</v>
      </c>
      <c r="E299">
        <v>1</v>
      </c>
      <c r="F299">
        <v>0.1</v>
      </c>
      <c r="G299" t="s">
        <v>14</v>
      </c>
      <c r="H299" t="s">
        <v>21</v>
      </c>
      <c r="I299" t="s">
        <v>20</v>
      </c>
      <c r="J299" s="2">
        <f>Table1_1[[#This Row],[Sales]]-Table1_1[[#This Row],[Sales]]*Table1_1[[#This Row],[Discount]]</f>
        <v>2518.3710000000001</v>
      </c>
      <c r="K299" s="1">
        <v>45438</v>
      </c>
      <c r="L299" s="11">
        <v>45441</v>
      </c>
      <c r="M299">
        <f>DATEDIF(Table1_1[[#This Row],[Order Date]],Table1_1[[#This Row],[Ship Date]],"D")</f>
        <v>3</v>
      </c>
    </row>
    <row r="300" spans="1:13" x14ac:dyDescent="0.35">
      <c r="A300" t="s">
        <v>592</v>
      </c>
      <c r="B300" t="s">
        <v>550</v>
      </c>
      <c r="C300" t="s">
        <v>91</v>
      </c>
      <c r="D300" s="2">
        <v>3817.35</v>
      </c>
      <c r="E300">
        <v>3</v>
      </c>
      <c r="F300">
        <v>0.1</v>
      </c>
      <c r="G300" t="s">
        <v>39</v>
      </c>
      <c r="H300" t="s">
        <v>21</v>
      </c>
      <c r="I300" t="s">
        <v>16</v>
      </c>
      <c r="J300" s="2">
        <f>Table1_1[[#This Row],[Sales]]-Table1_1[[#This Row],[Sales]]*Table1_1[[#This Row],[Discount]]</f>
        <v>3435.6149999999998</v>
      </c>
      <c r="K300" s="1">
        <v>45088</v>
      </c>
      <c r="L300" s="11">
        <v>45093</v>
      </c>
      <c r="M300">
        <f>DATEDIF(Table1_1[[#This Row],[Order Date]],Table1_1[[#This Row],[Ship Date]],"D")</f>
        <v>5</v>
      </c>
    </row>
    <row r="301" spans="1:13" x14ac:dyDescent="0.35">
      <c r="A301" t="s">
        <v>593</v>
      </c>
      <c r="B301" t="s">
        <v>594</v>
      </c>
      <c r="C301" t="s">
        <v>595</v>
      </c>
      <c r="D301" s="2">
        <v>154.94999999999999</v>
      </c>
      <c r="E301">
        <v>2</v>
      </c>
      <c r="F301">
        <v>0.3</v>
      </c>
      <c r="G301" t="s">
        <v>19</v>
      </c>
      <c r="H301" t="s">
        <v>21</v>
      </c>
      <c r="I301" t="s">
        <v>43</v>
      </c>
      <c r="J301" s="2">
        <f>Table1_1[[#This Row],[Sales]]-Table1_1[[#This Row],[Sales]]*Table1_1[[#This Row],[Discount]]</f>
        <v>108.465</v>
      </c>
      <c r="K301" s="1">
        <v>45404</v>
      </c>
      <c r="L301" s="11">
        <v>45408</v>
      </c>
      <c r="M301">
        <f>DATEDIF(Table1_1[[#This Row],[Order Date]],Table1_1[[#This Row],[Ship Date]],"D")</f>
        <v>4</v>
      </c>
    </row>
    <row r="302" spans="1:13" x14ac:dyDescent="0.35">
      <c r="A302" t="s">
        <v>596</v>
      </c>
      <c r="B302" t="s">
        <v>597</v>
      </c>
      <c r="C302" t="s">
        <v>178</v>
      </c>
      <c r="D302" s="2">
        <v>1952.12</v>
      </c>
      <c r="E302">
        <v>1</v>
      </c>
      <c r="F302">
        <v>0.2</v>
      </c>
      <c r="G302" t="s">
        <v>39</v>
      </c>
      <c r="H302" t="s">
        <v>15</v>
      </c>
      <c r="I302" t="s">
        <v>43</v>
      </c>
      <c r="J302" s="2">
        <f>Table1_1[[#This Row],[Sales]]-Table1_1[[#This Row],[Sales]]*Table1_1[[#This Row],[Discount]]</f>
        <v>1561.6959999999999</v>
      </c>
      <c r="K302" s="1">
        <v>45180</v>
      </c>
      <c r="L302" s="11">
        <v>45181</v>
      </c>
      <c r="M302">
        <f>DATEDIF(Table1_1[[#This Row],[Order Date]],Table1_1[[#This Row],[Ship Date]],"D")</f>
        <v>1</v>
      </c>
    </row>
    <row r="303" spans="1:13" x14ac:dyDescent="0.35">
      <c r="A303" t="s">
        <v>598</v>
      </c>
      <c r="B303" t="s">
        <v>599</v>
      </c>
      <c r="C303" t="s">
        <v>178</v>
      </c>
      <c r="D303" s="2">
        <v>898.61</v>
      </c>
      <c r="E303">
        <v>4</v>
      </c>
      <c r="F303">
        <v>0</v>
      </c>
      <c r="G303" t="s">
        <v>39</v>
      </c>
      <c r="H303" t="s">
        <v>15</v>
      </c>
      <c r="I303" t="s">
        <v>43</v>
      </c>
      <c r="J303" s="2">
        <f>Table1_1[[#This Row],[Sales]]-Table1_1[[#This Row],[Sales]]*Table1_1[[#This Row],[Discount]]</f>
        <v>898.61</v>
      </c>
      <c r="K303" s="1">
        <v>45559</v>
      </c>
      <c r="L303" s="11">
        <v>45562</v>
      </c>
      <c r="M303">
        <f>DATEDIF(Table1_1[[#This Row],[Order Date]],Table1_1[[#This Row],[Ship Date]],"D")</f>
        <v>3</v>
      </c>
    </row>
    <row r="304" spans="1:13" x14ac:dyDescent="0.35">
      <c r="A304" t="s">
        <v>600</v>
      </c>
      <c r="B304" t="s">
        <v>601</v>
      </c>
      <c r="C304" t="s">
        <v>223</v>
      </c>
      <c r="D304" s="2">
        <v>811.81</v>
      </c>
      <c r="E304">
        <v>4</v>
      </c>
      <c r="F304">
        <v>0.1</v>
      </c>
      <c r="G304" t="s">
        <v>39</v>
      </c>
      <c r="H304" t="s">
        <v>15</v>
      </c>
      <c r="I304" t="s">
        <v>16</v>
      </c>
      <c r="J304" s="2">
        <f>Table1_1[[#This Row],[Sales]]-Table1_1[[#This Row],[Sales]]*Table1_1[[#This Row],[Discount]]</f>
        <v>730.62899999999991</v>
      </c>
      <c r="K304" s="1">
        <v>44965</v>
      </c>
      <c r="L304" s="11">
        <v>44972</v>
      </c>
      <c r="M304">
        <f>DATEDIF(Table1_1[[#This Row],[Order Date]],Table1_1[[#This Row],[Ship Date]],"D")</f>
        <v>7</v>
      </c>
    </row>
    <row r="305" spans="1:13" x14ac:dyDescent="0.35">
      <c r="A305" t="s">
        <v>602</v>
      </c>
      <c r="B305" t="s">
        <v>603</v>
      </c>
      <c r="C305" t="s">
        <v>226</v>
      </c>
      <c r="D305" s="2">
        <v>4391.6499999999996</v>
      </c>
      <c r="E305">
        <v>7</v>
      </c>
      <c r="F305">
        <v>0.3</v>
      </c>
      <c r="G305" t="s">
        <v>14</v>
      </c>
      <c r="H305" t="s">
        <v>21</v>
      </c>
      <c r="I305" t="s">
        <v>43</v>
      </c>
      <c r="J305" s="2">
        <f>Table1_1[[#This Row],[Sales]]-Table1_1[[#This Row],[Sales]]*Table1_1[[#This Row],[Discount]]</f>
        <v>3074.1549999999997</v>
      </c>
      <c r="K305" s="1">
        <v>45619</v>
      </c>
      <c r="L305" s="11">
        <v>45620</v>
      </c>
      <c r="M305">
        <f>DATEDIF(Table1_1[[#This Row],[Order Date]],Table1_1[[#This Row],[Ship Date]],"D")</f>
        <v>1</v>
      </c>
    </row>
    <row r="306" spans="1:13" x14ac:dyDescent="0.35">
      <c r="A306" t="s">
        <v>604</v>
      </c>
      <c r="B306" t="s">
        <v>12</v>
      </c>
      <c r="C306" t="s">
        <v>237</v>
      </c>
      <c r="D306" s="2">
        <v>359.68</v>
      </c>
      <c r="E306">
        <v>10</v>
      </c>
      <c r="F306">
        <v>0.1</v>
      </c>
      <c r="G306" t="s">
        <v>39</v>
      </c>
      <c r="H306" t="s">
        <v>21</v>
      </c>
      <c r="I306" t="s">
        <v>16</v>
      </c>
      <c r="J306" s="2">
        <f>Table1_1[[#This Row],[Sales]]-Table1_1[[#This Row],[Sales]]*Table1_1[[#This Row],[Discount]]</f>
        <v>323.71199999999999</v>
      </c>
      <c r="K306" s="1">
        <v>45654</v>
      </c>
      <c r="L306" s="11">
        <v>45660</v>
      </c>
      <c r="M306">
        <f>DATEDIF(Table1_1[[#This Row],[Order Date]],Table1_1[[#This Row],[Ship Date]],"D")</f>
        <v>6</v>
      </c>
    </row>
    <row r="307" spans="1:13" x14ac:dyDescent="0.35">
      <c r="A307" t="s">
        <v>605</v>
      </c>
      <c r="B307" t="s">
        <v>107</v>
      </c>
      <c r="C307" t="s">
        <v>450</v>
      </c>
      <c r="D307" s="2">
        <v>4466.8</v>
      </c>
      <c r="E307">
        <v>1</v>
      </c>
      <c r="F307">
        <v>0.1</v>
      </c>
      <c r="G307" t="s">
        <v>39</v>
      </c>
      <c r="H307" t="s">
        <v>21</v>
      </c>
      <c r="I307" t="s">
        <v>16</v>
      </c>
      <c r="J307" s="2">
        <f>Table1_1[[#This Row],[Sales]]-Table1_1[[#This Row],[Sales]]*Table1_1[[#This Row],[Discount]]</f>
        <v>4020.12</v>
      </c>
      <c r="K307" s="1">
        <v>45213</v>
      </c>
      <c r="L307" s="11">
        <v>45217</v>
      </c>
      <c r="M307">
        <f>DATEDIF(Table1_1[[#This Row],[Order Date]],Table1_1[[#This Row],[Ship Date]],"D")</f>
        <v>4</v>
      </c>
    </row>
    <row r="308" spans="1:13" x14ac:dyDescent="0.35">
      <c r="A308" t="s">
        <v>606</v>
      </c>
      <c r="B308" t="s">
        <v>607</v>
      </c>
      <c r="C308" t="s">
        <v>217</v>
      </c>
      <c r="D308" s="2">
        <v>985.06</v>
      </c>
      <c r="E308">
        <v>8</v>
      </c>
      <c r="F308">
        <v>0.1</v>
      </c>
      <c r="G308" t="s">
        <v>14</v>
      </c>
      <c r="H308" t="s">
        <v>15</v>
      </c>
      <c r="I308" t="s">
        <v>20</v>
      </c>
      <c r="J308" s="2">
        <f>Table1_1[[#This Row],[Sales]]-Table1_1[[#This Row],[Sales]]*Table1_1[[#This Row],[Discount]]</f>
        <v>886.55399999999997</v>
      </c>
      <c r="K308" s="1">
        <v>45237</v>
      </c>
      <c r="L308" s="11">
        <v>45242</v>
      </c>
      <c r="M308">
        <f>DATEDIF(Table1_1[[#This Row],[Order Date]],Table1_1[[#This Row],[Ship Date]],"D")</f>
        <v>5</v>
      </c>
    </row>
    <row r="309" spans="1:13" x14ac:dyDescent="0.35">
      <c r="A309" t="s">
        <v>608</v>
      </c>
      <c r="B309" t="s">
        <v>609</v>
      </c>
      <c r="C309" t="s">
        <v>458</v>
      </c>
      <c r="D309" s="2">
        <v>1301.1099999999999</v>
      </c>
      <c r="E309">
        <v>8</v>
      </c>
      <c r="F309">
        <v>0.3</v>
      </c>
      <c r="G309" t="s">
        <v>14</v>
      </c>
      <c r="H309" t="s">
        <v>15</v>
      </c>
      <c r="I309" t="s">
        <v>20</v>
      </c>
      <c r="J309" s="2">
        <f>Table1_1[[#This Row],[Sales]]-Table1_1[[#This Row],[Sales]]*Table1_1[[#This Row],[Discount]]</f>
        <v>910.77699999999993</v>
      </c>
      <c r="K309" s="1">
        <v>45720</v>
      </c>
      <c r="L309" s="11">
        <v>45726</v>
      </c>
      <c r="M309">
        <f>DATEDIF(Table1_1[[#This Row],[Order Date]],Table1_1[[#This Row],[Ship Date]],"D")</f>
        <v>6</v>
      </c>
    </row>
    <row r="310" spans="1:13" x14ac:dyDescent="0.35">
      <c r="A310" t="s">
        <v>610</v>
      </c>
      <c r="B310" t="s">
        <v>162</v>
      </c>
      <c r="C310" t="s">
        <v>152</v>
      </c>
      <c r="D310" s="2">
        <v>4570.28</v>
      </c>
      <c r="E310">
        <v>7</v>
      </c>
      <c r="F310">
        <v>0.1</v>
      </c>
      <c r="G310" t="s">
        <v>14</v>
      </c>
      <c r="H310" t="s">
        <v>15</v>
      </c>
      <c r="I310" t="s">
        <v>43</v>
      </c>
      <c r="J310" s="2">
        <f>Table1_1[[#This Row],[Sales]]-Table1_1[[#This Row],[Sales]]*Table1_1[[#This Row],[Discount]]</f>
        <v>4113.2519999999995</v>
      </c>
      <c r="K310" s="1">
        <v>45033</v>
      </c>
      <c r="L310" s="11">
        <v>45034</v>
      </c>
      <c r="M310">
        <f>DATEDIF(Table1_1[[#This Row],[Order Date]],Table1_1[[#This Row],[Ship Date]],"D")</f>
        <v>1</v>
      </c>
    </row>
    <row r="311" spans="1:13" x14ac:dyDescent="0.35">
      <c r="A311" t="s">
        <v>611</v>
      </c>
      <c r="B311" t="s">
        <v>528</v>
      </c>
      <c r="C311" t="s">
        <v>113</v>
      </c>
      <c r="D311" s="2">
        <v>3640.34</v>
      </c>
      <c r="E311">
        <v>8</v>
      </c>
      <c r="F311">
        <v>0.3</v>
      </c>
      <c r="G311" t="s">
        <v>39</v>
      </c>
      <c r="H311" t="s">
        <v>15</v>
      </c>
      <c r="I311" t="s">
        <v>16</v>
      </c>
      <c r="J311" s="2">
        <f>Table1_1[[#This Row],[Sales]]-Table1_1[[#This Row],[Sales]]*Table1_1[[#This Row],[Discount]]</f>
        <v>2548.2380000000003</v>
      </c>
      <c r="K311" s="1">
        <v>45481</v>
      </c>
      <c r="L311" s="11">
        <v>45486</v>
      </c>
      <c r="M311">
        <f>DATEDIF(Table1_1[[#This Row],[Order Date]],Table1_1[[#This Row],[Ship Date]],"D")</f>
        <v>5</v>
      </c>
    </row>
    <row r="312" spans="1:13" x14ac:dyDescent="0.35">
      <c r="A312" t="s">
        <v>612</v>
      </c>
      <c r="B312" t="s">
        <v>498</v>
      </c>
      <c r="C312" t="s">
        <v>384</v>
      </c>
      <c r="D312" s="2">
        <v>4373.3</v>
      </c>
      <c r="E312">
        <v>3</v>
      </c>
      <c r="F312">
        <v>0</v>
      </c>
      <c r="G312" t="s">
        <v>19</v>
      </c>
      <c r="H312" t="s">
        <v>21</v>
      </c>
      <c r="I312" t="s">
        <v>20</v>
      </c>
      <c r="J312" s="2">
        <f>Table1_1[[#This Row],[Sales]]-Table1_1[[#This Row],[Sales]]*Table1_1[[#This Row],[Discount]]</f>
        <v>4373.3</v>
      </c>
      <c r="K312" s="1">
        <v>45623</v>
      </c>
      <c r="L312" s="11">
        <v>45624</v>
      </c>
      <c r="M312">
        <f>DATEDIF(Table1_1[[#This Row],[Order Date]],Table1_1[[#This Row],[Ship Date]],"D")</f>
        <v>1</v>
      </c>
    </row>
    <row r="313" spans="1:13" x14ac:dyDescent="0.35">
      <c r="A313" t="s">
        <v>613</v>
      </c>
      <c r="B313" t="s">
        <v>614</v>
      </c>
      <c r="C313" t="s">
        <v>251</v>
      </c>
      <c r="D313" s="2">
        <v>4649.8999999999996</v>
      </c>
      <c r="E313">
        <v>5</v>
      </c>
      <c r="F313">
        <v>0</v>
      </c>
      <c r="G313" t="s">
        <v>14</v>
      </c>
      <c r="H313" t="s">
        <v>21</v>
      </c>
      <c r="I313" t="s">
        <v>16</v>
      </c>
      <c r="J313" s="2">
        <f>Table1_1[[#This Row],[Sales]]-Table1_1[[#This Row],[Sales]]*Table1_1[[#This Row],[Discount]]</f>
        <v>4649.8999999999996</v>
      </c>
      <c r="K313" s="1">
        <v>44931</v>
      </c>
      <c r="L313" s="11">
        <v>44938</v>
      </c>
      <c r="M313">
        <f>DATEDIF(Table1_1[[#This Row],[Order Date]],Table1_1[[#This Row],[Ship Date]],"D")</f>
        <v>7</v>
      </c>
    </row>
    <row r="314" spans="1:13" x14ac:dyDescent="0.35">
      <c r="A314" t="s">
        <v>615</v>
      </c>
      <c r="B314" t="s">
        <v>616</v>
      </c>
      <c r="C314" t="s">
        <v>175</v>
      </c>
      <c r="D314" s="2">
        <v>1902.47</v>
      </c>
      <c r="E314">
        <v>2</v>
      </c>
      <c r="F314">
        <v>0.3</v>
      </c>
      <c r="G314" t="s">
        <v>14</v>
      </c>
      <c r="H314" t="s">
        <v>15</v>
      </c>
      <c r="I314" t="s">
        <v>16</v>
      </c>
      <c r="J314" s="2">
        <f>Table1_1[[#This Row],[Sales]]-Table1_1[[#This Row],[Sales]]*Table1_1[[#This Row],[Discount]]</f>
        <v>1331.729</v>
      </c>
      <c r="K314" s="1">
        <v>45555</v>
      </c>
      <c r="L314" s="11">
        <v>45560</v>
      </c>
      <c r="M314">
        <f>DATEDIF(Table1_1[[#This Row],[Order Date]],Table1_1[[#This Row],[Ship Date]],"D")</f>
        <v>5</v>
      </c>
    </row>
    <row r="315" spans="1:13" x14ac:dyDescent="0.35">
      <c r="A315" t="s">
        <v>617</v>
      </c>
      <c r="B315" t="s">
        <v>618</v>
      </c>
      <c r="C315" t="s">
        <v>318</v>
      </c>
      <c r="D315" s="2">
        <v>2302.85</v>
      </c>
      <c r="E315">
        <v>2</v>
      </c>
      <c r="F315">
        <v>0.3</v>
      </c>
      <c r="G315" t="s">
        <v>14</v>
      </c>
      <c r="H315" t="s">
        <v>15</v>
      </c>
      <c r="I315" t="s">
        <v>16</v>
      </c>
      <c r="J315" s="2">
        <f>Table1_1[[#This Row],[Sales]]-Table1_1[[#This Row],[Sales]]*Table1_1[[#This Row],[Discount]]</f>
        <v>1611.9949999999999</v>
      </c>
      <c r="K315" s="1">
        <v>45019</v>
      </c>
      <c r="L315" s="11">
        <v>45022</v>
      </c>
      <c r="M315">
        <f>DATEDIF(Table1_1[[#This Row],[Order Date]],Table1_1[[#This Row],[Ship Date]],"D")</f>
        <v>3</v>
      </c>
    </row>
    <row r="316" spans="1:13" x14ac:dyDescent="0.35">
      <c r="A316" t="s">
        <v>619</v>
      </c>
      <c r="B316" t="s">
        <v>424</v>
      </c>
      <c r="C316" t="s">
        <v>77</v>
      </c>
      <c r="D316" s="2">
        <v>4529.22</v>
      </c>
      <c r="E316">
        <v>5</v>
      </c>
      <c r="F316">
        <v>0.3</v>
      </c>
      <c r="G316" t="s">
        <v>39</v>
      </c>
      <c r="H316" t="s">
        <v>15</v>
      </c>
      <c r="I316" t="s">
        <v>43</v>
      </c>
      <c r="J316" s="2">
        <f>Table1_1[[#This Row],[Sales]]-Table1_1[[#This Row],[Sales]]*Table1_1[[#This Row],[Discount]]</f>
        <v>3170.4540000000002</v>
      </c>
      <c r="K316" s="1">
        <v>45281</v>
      </c>
      <c r="L316" s="11">
        <v>45288</v>
      </c>
      <c r="M316">
        <f>DATEDIF(Table1_1[[#This Row],[Order Date]],Table1_1[[#This Row],[Ship Date]],"D")</f>
        <v>7</v>
      </c>
    </row>
    <row r="317" spans="1:13" x14ac:dyDescent="0.35">
      <c r="A317" t="s">
        <v>620</v>
      </c>
      <c r="B317" t="s">
        <v>621</v>
      </c>
      <c r="C317" t="s">
        <v>73</v>
      </c>
      <c r="D317" s="2">
        <v>146.65</v>
      </c>
      <c r="E317">
        <v>6</v>
      </c>
      <c r="F317">
        <v>0.2</v>
      </c>
      <c r="G317" t="s">
        <v>14</v>
      </c>
      <c r="H317" t="s">
        <v>21</v>
      </c>
      <c r="I317" t="s">
        <v>43</v>
      </c>
      <c r="J317" s="2">
        <f>Table1_1[[#This Row],[Sales]]-Table1_1[[#This Row],[Sales]]*Table1_1[[#This Row],[Discount]]</f>
        <v>117.32000000000001</v>
      </c>
      <c r="K317" s="1">
        <v>45231</v>
      </c>
      <c r="L317" s="11">
        <v>45235</v>
      </c>
      <c r="M317">
        <f>DATEDIF(Table1_1[[#This Row],[Order Date]],Table1_1[[#This Row],[Ship Date]],"D")</f>
        <v>4</v>
      </c>
    </row>
    <row r="318" spans="1:13" x14ac:dyDescent="0.35">
      <c r="A318" t="s">
        <v>622</v>
      </c>
      <c r="B318" t="s">
        <v>618</v>
      </c>
      <c r="C318" t="s">
        <v>243</v>
      </c>
      <c r="D318" s="2">
        <v>3410.6</v>
      </c>
      <c r="E318">
        <v>10</v>
      </c>
      <c r="F318">
        <v>0</v>
      </c>
      <c r="G318" t="s">
        <v>14</v>
      </c>
      <c r="H318" t="s">
        <v>15</v>
      </c>
      <c r="I318" t="s">
        <v>43</v>
      </c>
      <c r="J318" s="2">
        <f>Table1_1[[#This Row],[Sales]]-Table1_1[[#This Row],[Sales]]*Table1_1[[#This Row],[Discount]]</f>
        <v>3410.6</v>
      </c>
      <c r="K318" s="1">
        <v>45299</v>
      </c>
      <c r="L318" s="11">
        <v>45302</v>
      </c>
      <c r="M318">
        <f>DATEDIF(Table1_1[[#This Row],[Order Date]],Table1_1[[#This Row],[Ship Date]],"D")</f>
        <v>3</v>
      </c>
    </row>
    <row r="319" spans="1:13" x14ac:dyDescent="0.35">
      <c r="A319" t="s">
        <v>623</v>
      </c>
      <c r="B319" t="s">
        <v>382</v>
      </c>
      <c r="C319" t="s">
        <v>624</v>
      </c>
      <c r="D319" s="2">
        <v>896.7</v>
      </c>
      <c r="E319">
        <v>9</v>
      </c>
      <c r="F319">
        <v>0.1</v>
      </c>
      <c r="G319" t="s">
        <v>14</v>
      </c>
      <c r="H319" t="s">
        <v>15</v>
      </c>
      <c r="I319" t="s">
        <v>43</v>
      </c>
      <c r="J319" s="2">
        <f>Table1_1[[#This Row],[Sales]]-Table1_1[[#This Row],[Sales]]*Table1_1[[#This Row],[Discount]]</f>
        <v>807.03</v>
      </c>
      <c r="K319" s="1">
        <v>45294</v>
      </c>
      <c r="L319" s="11">
        <v>45295</v>
      </c>
      <c r="M319">
        <f>DATEDIF(Table1_1[[#This Row],[Order Date]],Table1_1[[#This Row],[Ship Date]],"D")</f>
        <v>1</v>
      </c>
    </row>
    <row r="320" spans="1:13" x14ac:dyDescent="0.35">
      <c r="A320" t="s">
        <v>625</v>
      </c>
      <c r="B320" t="s">
        <v>418</v>
      </c>
      <c r="C320" t="s">
        <v>160</v>
      </c>
      <c r="D320" s="2">
        <v>3212.24</v>
      </c>
      <c r="E320">
        <v>2</v>
      </c>
      <c r="F320">
        <v>0.3</v>
      </c>
      <c r="G320" t="s">
        <v>14</v>
      </c>
      <c r="H320" t="s">
        <v>15</v>
      </c>
      <c r="I320" t="s">
        <v>43</v>
      </c>
      <c r="J320" s="2">
        <f>Table1_1[[#This Row],[Sales]]-Table1_1[[#This Row],[Sales]]*Table1_1[[#This Row],[Discount]]</f>
        <v>2248.5679999999998</v>
      </c>
      <c r="K320" s="1">
        <v>45309</v>
      </c>
      <c r="L320" s="11">
        <v>45315</v>
      </c>
      <c r="M320">
        <f>DATEDIF(Table1_1[[#This Row],[Order Date]],Table1_1[[#This Row],[Ship Date]],"D")</f>
        <v>6</v>
      </c>
    </row>
    <row r="321" spans="1:13" x14ac:dyDescent="0.35">
      <c r="A321" t="s">
        <v>626</v>
      </c>
      <c r="B321" t="s">
        <v>627</v>
      </c>
      <c r="C321" t="s">
        <v>259</v>
      </c>
      <c r="D321" s="2">
        <v>3682.49</v>
      </c>
      <c r="E321">
        <v>5</v>
      </c>
      <c r="F321">
        <v>0.2</v>
      </c>
      <c r="G321" t="s">
        <v>14</v>
      </c>
      <c r="H321" t="s">
        <v>21</v>
      </c>
      <c r="I321" t="s">
        <v>20</v>
      </c>
      <c r="J321" s="2">
        <f>Table1_1[[#This Row],[Sales]]-Table1_1[[#This Row],[Sales]]*Table1_1[[#This Row],[Discount]]</f>
        <v>2945.9919999999997</v>
      </c>
      <c r="K321" s="1">
        <v>45636</v>
      </c>
      <c r="L321" s="11">
        <v>45637</v>
      </c>
      <c r="M321">
        <f>DATEDIF(Table1_1[[#This Row],[Order Date]],Table1_1[[#This Row],[Ship Date]],"D")</f>
        <v>1</v>
      </c>
    </row>
    <row r="322" spans="1:13" x14ac:dyDescent="0.35">
      <c r="A322" t="s">
        <v>628</v>
      </c>
      <c r="B322" t="s">
        <v>629</v>
      </c>
      <c r="C322" t="s">
        <v>197</v>
      </c>
      <c r="D322" s="2">
        <v>3180.68</v>
      </c>
      <c r="E322">
        <v>7</v>
      </c>
      <c r="F322">
        <v>0.3</v>
      </c>
      <c r="G322" t="s">
        <v>19</v>
      </c>
      <c r="H322" t="s">
        <v>21</v>
      </c>
      <c r="I322" t="s">
        <v>16</v>
      </c>
      <c r="J322" s="2">
        <f>Table1_1[[#This Row],[Sales]]-Table1_1[[#This Row],[Sales]]*Table1_1[[#This Row],[Discount]]</f>
        <v>2226.4759999999997</v>
      </c>
      <c r="K322" s="1">
        <v>45111</v>
      </c>
      <c r="L322" s="11">
        <v>45115</v>
      </c>
      <c r="M322">
        <f>DATEDIF(Table1_1[[#This Row],[Order Date]],Table1_1[[#This Row],[Ship Date]],"D")</f>
        <v>4</v>
      </c>
    </row>
    <row r="323" spans="1:13" x14ac:dyDescent="0.35">
      <c r="A323" t="s">
        <v>630</v>
      </c>
      <c r="B323" t="s">
        <v>629</v>
      </c>
      <c r="C323" t="s">
        <v>487</v>
      </c>
      <c r="D323" s="2">
        <v>1442.29</v>
      </c>
      <c r="E323">
        <v>4</v>
      </c>
      <c r="F323">
        <v>0.2</v>
      </c>
      <c r="G323" t="s">
        <v>19</v>
      </c>
      <c r="H323" t="s">
        <v>21</v>
      </c>
      <c r="I323" t="s">
        <v>20</v>
      </c>
      <c r="J323" s="2">
        <f>Table1_1[[#This Row],[Sales]]-Table1_1[[#This Row],[Sales]]*Table1_1[[#This Row],[Discount]]</f>
        <v>1153.8319999999999</v>
      </c>
      <c r="K323" s="1">
        <v>45262</v>
      </c>
      <c r="L323" s="11">
        <v>45266</v>
      </c>
      <c r="M323">
        <f>DATEDIF(Table1_1[[#This Row],[Order Date]],Table1_1[[#This Row],[Ship Date]],"D")</f>
        <v>4</v>
      </c>
    </row>
    <row r="324" spans="1:13" x14ac:dyDescent="0.35">
      <c r="A324" t="s">
        <v>631</v>
      </c>
      <c r="B324" t="s">
        <v>632</v>
      </c>
      <c r="C324" t="s">
        <v>185</v>
      </c>
      <c r="D324" s="2">
        <v>409.8</v>
      </c>
      <c r="E324">
        <v>1</v>
      </c>
      <c r="F324">
        <v>0.1</v>
      </c>
      <c r="G324" t="s">
        <v>14</v>
      </c>
      <c r="H324" t="s">
        <v>21</v>
      </c>
      <c r="I324" t="s">
        <v>16</v>
      </c>
      <c r="J324" s="2">
        <f>Table1_1[[#This Row],[Sales]]-Table1_1[[#This Row],[Sales]]*Table1_1[[#This Row],[Discount]]</f>
        <v>368.82</v>
      </c>
      <c r="K324" s="1">
        <v>45367</v>
      </c>
      <c r="L324" s="11">
        <v>45372</v>
      </c>
      <c r="M324">
        <f>DATEDIF(Table1_1[[#This Row],[Order Date]],Table1_1[[#This Row],[Ship Date]],"D")</f>
        <v>5</v>
      </c>
    </row>
    <row r="325" spans="1:13" x14ac:dyDescent="0.35">
      <c r="A325" t="s">
        <v>633</v>
      </c>
      <c r="B325" t="s">
        <v>402</v>
      </c>
      <c r="C325" t="s">
        <v>458</v>
      </c>
      <c r="D325" s="2">
        <v>3610.81</v>
      </c>
      <c r="E325">
        <v>8</v>
      </c>
      <c r="F325">
        <v>0.1</v>
      </c>
      <c r="G325" t="s">
        <v>14</v>
      </c>
      <c r="H325" t="s">
        <v>21</v>
      </c>
      <c r="I325" t="s">
        <v>43</v>
      </c>
      <c r="J325" s="2">
        <f>Table1_1[[#This Row],[Sales]]-Table1_1[[#This Row],[Sales]]*Table1_1[[#This Row],[Discount]]</f>
        <v>3249.7289999999998</v>
      </c>
      <c r="K325" s="1">
        <v>45424</v>
      </c>
      <c r="L325" s="11">
        <v>45430</v>
      </c>
      <c r="M325">
        <f>DATEDIF(Table1_1[[#This Row],[Order Date]],Table1_1[[#This Row],[Ship Date]],"D")</f>
        <v>6</v>
      </c>
    </row>
    <row r="326" spans="1:13" x14ac:dyDescent="0.35">
      <c r="A326" t="s">
        <v>634</v>
      </c>
      <c r="B326" t="s">
        <v>577</v>
      </c>
      <c r="C326" t="s">
        <v>359</v>
      </c>
      <c r="D326" s="2">
        <v>561.87</v>
      </c>
      <c r="E326">
        <v>2</v>
      </c>
      <c r="F326">
        <v>0.3</v>
      </c>
      <c r="G326" t="s">
        <v>14</v>
      </c>
      <c r="H326" t="s">
        <v>21</v>
      </c>
      <c r="I326" t="s">
        <v>20</v>
      </c>
      <c r="J326" s="2">
        <f>Table1_1[[#This Row],[Sales]]-Table1_1[[#This Row],[Sales]]*Table1_1[[#This Row],[Discount]]</f>
        <v>393.30899999999997</v>
      </c>
      <c r="K326" s="1">
        <v>45255</v>
      </c>
      <c r="L326" s="11">
        <v>45258</v>
      </c>
      <c r="M326">
        <f>DATEDIF(Table1_1[[#This Row],[Order Date]],Table1_1[[#This Row],[Ship Date]],"D")</f>
        <v>3</v>
      </c>
    </row>
    <row r="327" spans="1:13" x14ac:dyDescent="0.35">
      <c r="A327" t="s">
        <v>635</v>
      </c>
      <c r="B327" t="s">
        <v>472</v>
      </c>
      <c r="C327" t="s">
        <v>220</v>
      </c>
      <c r="D327" s="2">
        <v>563.64</v>
      </c>
      <c r="E327">
        <v>1</v>
      </c>
      <c r="F327">
        <v>0.3</v>
      </c>
      <c r="G327" t="s">
        <v>39</v>
      </c>
      <c r="H327" t="s">
        <v>21</v>
      </c>
      <c r="I327" t="s">
        <v>43</v>
      </c>
      <c r="J327" s="2">
        <f>Table1_1[[#This Row],[Sales]]-Table1_1[[#This Row],[Sales]]*Table1_1[[#This Row],[Discount]]</f>
        <v>394.548</v>
      </c>
      <c r="K327" s="1">
        <v>45330</v>
      </c>
      <c r="L327" s="11">
        <v>45336</v>
      </c>
      <c r="M327">
        <f>DATEDIF(Table1_1[[#This Row],[Order Date]],Table1_1[[#This Row],[Ship Date]],"D")</f>
        <v>6</v>
      </c>
    </row>
    <row r="328" spans="1:13" x14ac:dyDescent="0.35">
      <c r="A328" t="s">
        <v>636</v>
      </c>
      <c r="B328" t="s">
        <v>637</v>
      </c>
      <c r="C328" t="s">
        <v>89</v>
      </c>
      <c r="D328" s="2">
        <v>1996</v>
      </c>
      <c r="E328">
        <v>10</v>
      </c>
      <c r="F328">
        <v>0.3</v>
      </c>
      <c r="G328" t="s">
        <v>19</v>
      </c>
      <c r="H328" t="s">
        <v>21</v>
      </c>
      <c r="I328" t="s">
        <v>43</v>
      </c>
      <c r="J328" s="2">
        <f>Table1_1[[#This Row],[Sales]]-Table1_1[[#This Row],[Sales]]*Table1_1[[#This Row],[Discount]]</f>
        <v>1397.2</v>
      </c>
      <c r="K328" s="1">
        <v>44957</v>
      </c>
      <c r="L328" s="11">
        <v>44962</v>
      </c>
      <c r="M328">
        <f>DATEDIF(Table1_1[[#This Row],[Order Date]],Table1_1[[#This Row],[Ship Date]],"D")</f>
        <v>5</v>
      </c>
    </row>
    <row r="329" spans="1:13" x14ac:dyDescent="0.35">
      <c r="A329" t="s">
        <v>638</v>
      </c>
      <c r="B329" t="s">
        <v>639</v>
      </c>
      <c r="C329" t="s">
        <v>273</v>
      </c>
      <c r="D329" s="2">
        <v>4392.41</v>
      </c>
      <c r="E329">
        <v>5</v>
      </c>
      <c r="F329">
        <v>0</v>
      </c>
      <c r="G329" t="s">
        <v>14</v>
      </c>
      <c r="H329" t="s">
        <v>15</v>
      </c>
      <c r="I329" t="s">
        <v>43</v>
      </c>
      <c r="J329" s="2">
        <f>Table1_1[[#This Row],[Sales]]-Table1_1[[#This Row],[Sales]]*Table1_1[[#This Row],[Discount]]</f>
        <v>4392.41</v>
      </c>
      <c r="K329" s="1">
        <v>45138</v>
      </c>
      <c r="L329" s="11">
        <v>45144</v>
      </c>
      <c r="M329">
        <f>DATEDIF(Table1_1[[#This Row],[Order Date]],Table1_1[[#This Row],[Ship Date]],"D")</f>
        <v>6</v>
      </c>
    </row>
    <row r="330" spans="1:13" x14ac:dyDescent="0.35">
      <c r="A330" t="s">
        <v>640</v>
      </c>
      <c r="B330" t="s">
        <v>538</v>
      </c>
      <c r="C330" t="s">
        <v>34</v>
      </c>
      <c r="D330" s="2">
        <v>3887.54</v>
      </c>
      <c r="E330">
        <v>10</v>
      </c>
      <c r="F330">
        <v>0.3</v>
      </c>
      <c r="G330" t="s">
        <v>39</v>
      </c>
      <c r="H330" t="s">
        <v>21</v>
      </c>
      <c r="I330" t="s">
        <v>43</v>
      </c>
      <c r="J330" s="2">
        <f>Table1_1[[#This Row],[Sales]]-Table1_1[[#This Row],[Sales]]*Table1_1[[#This Row],[Discount]]</f>
        <v>2721.2780000000002</v>
      </c>
      <c r="K330" s="1">
        <v>45521</v>
      </c>
      <c r="L330" s="11">
        <v>45527</v>
      </c>
      <c r="M330">
        <f>DATEDIF(Table1_1[[#This Row],[Order Date]],Table1_1[[#This Row],[Ship Date]],"D")</f>
        <v>6</v>
      </c>
    </row>
    <row r="331" spans="1:13" x14ac:dyDescent="0.35">
      <c r="A331" t="s">
        <v>641</v>
      </c>
      <c r="B331" t="s">
        <v>455</v>
      </c>
      <c r="C331" t="s">
        <v>118</v>
      </c>
      <c r="D331" s="2">
        <v>2855.95</v>
      </c>
      <c r="E331">
        <v>7</v>
      </c>
      <c r="F331">
        <v>0.3</v>
      </c>
      <c r="G331" t="s">
        <v>14</v>
      </c>
      <c r="H331" t="s">
        <v>15</v>
      </c>
      <c r="I331" t="s">
        <v>16</v>
      </c>
      <c r="J331" s="2">
        <f>Table1_1[[#This Row],[Sales]]-Table1_1[[#This Row],[Sales]]*Table1_1[[#This Row],[Discount]]</f>
        <v>1999.165</v>
      </c>
      <c r="K331" s="1">
        <v>45611</v>
      </c>
      <c r="L331" s="11">
        <v>45618</v>
      </c>
      <c r="M331">
        <f>DATEDIF(Table1_1[[#This Row],[Order Date]],Table1_1[[#This Row],[Ship Date]],"D")</f>
        <v>7</v>
      </c>
    </row>
    <row r="332" spans="1:13" x14ac:dyDescent="0.35">
      <c r="A332" t="s">
        <v>642</v>
      </c>
      <c r="B332" t="s">
        <v>643</v>
      </c>
      <c r="C332" t="s">
        <v>376</v>
      </c>
      <c r="D332" s="2">
        <v>160.66999999999999</v>
      </c>
      <c r="E332">
        <v>6</v>
      </c>
      <c r="F332">
        <v>0</v>
      </c>
      <c r="G332" t="s">
        <v>14</v>
      </c>
      <c r="H332" t="s">
        <v>15</v>
      </c>
      <c r="I332" t="s">
        <v>43</v>
      </c>
      <c r="J332" s="2">
        <f>Table1_1[[#This Row],[Sales]]-Table1_1[[#This Row],[Sales]]*Table1_1[[#This Row],[Discount]]</f>
        <v>160.66999999999999</v>
      </c>
      <c r="K332" s="1">
        <v>45453</v>
      </c>
      <c r="L332" s="11">
        <v>45455</v>
      </c>
      <c r="M332">
        <f>DATEDIF(Table1_1[[#This Row],[Order Date]],Table1_1[[#This Row],[Ship Date]],"D")</f>
        <v>2</v>
      </c>
    </row>
    <row r="333" spans="1:13" x14ac:dyDescent="0.35">
      <c r="A333" t="s">
        <v>644</v>
      </c>
      <c r="B333" t="s">
        <v>480</v>
      </c>
      <c r="C333" t="s">
        <v>175</v>
      </c>
      <c r="D333" s="2">
        <v>2429.14</v>
      </c>
      <c r="E333">
        <v>10</v>
      </c>
      <c r="F333">
        <v>0.1</v>
      </c>
      <c r="G333" t="s">
        <v>39</v>
      </c>
      <c r="H333" t="s">
        <v>15</v>
      </c>
      <c r="I333" t="s">
        <v>16</v>
      </c>
      <c r="J333" s="2">
        <f>Table1_1[[#This Row],[Sales]]-Table1_1[[#This Row],[Sales]]*Table1_1[[#This Row],[Discount]]</f>
        <v>2186.2259999999997</v>
      </c>
      <c r="K333" s="1">
        <v>45790</v>
      </c>
      <c r="L333" s="11">
        <v>45793</v>
      </c>
      <c r="M333">
        <f>DATEDIF(Table1_1[[#This Row],[Order Date]],Table1_1[[#This Row],[Ship Date]],"D")</f>
        <v>3</v>
      </c>
    </row>
    <row r="334" spans="1:13" x14ac:dyDescent="0.35">
      <c r="A334" t="s">
        <v>645</v>
      </c>
      <c r="B334" t="s">
        <v>646</v>
      </c>
      <c r="C334" t="s">
        <v>408</v>
      </c>
      <c r="D334" s="2">
        <v>265.47000000000003</v>
      </c>
      <c r="E334">
        <v>9</v>
      </c>
      <c r="F334">
        <v>0.1</v>
      </c>
      <c r="G334" t="s">
        <v>14</v>
      </c>
      <c r="H334" t="s">
        <v>15</v>
      </c>
      <c r="I334" t="s">
        <v>43</v>
      </c>
      <c r="J334" s="2">
        <f>Table1_1[[#This Row],[Sales]]-Table1_1[[#This Row],[Sales]]*Table1_1[[#This Row],[Discount]]</f>
        <v>238.92300000000003</v>
      </c>
      <c r="K334" s="1">
        <v>45070</v>
      </c>
      <c r="L334" s="11">
        <v>45075</v>
      </c>
      <c r="M334">
        <f>DATEDIF(Table1_1[[#This Row],[Order Date]],Table1_1[[#This Row],[Ship Date]],"D")</f>
        <v>5</v>
      </c>
    </row>
    <row r="335" spans="1:13" x14ac:dyDescent="0.35">
      <c r="A335" t="s">
        <v>647</v>
      </c>
      <c r="B335" t="s">
        <v>646</v>
      </c>
      <c r="C335" t="s">
        <v>175</v>
      </c>
      <c r="D335" s="2">
        <v>2650.04</v>
      </c>
      <c r="E335">
        <v>8</v>
      </c>
      <c r="F335">
        <v>0.3</v>
      </c>
      <c r="G335" t="s">
        <v>14</v>
      </c>
      <c r="H335" t="s">
        <v>21</v>
      </c>
      <c r="I335" t="s">
        <v>16</v>
      </c>
      <c r="J335" s="2">
        <f>Table1_1[[#This Row],[Sales]]-Table1_1[[#This Row],[Sales]]*Table1_1[[#This Row],[Discount]]</f>
        <v>1855.028</v>
      </c>
      <c r="K335" s="1">
        <v>45083</v>
      </c>
      <c r="L335" s="11">
        <v>45086</v>
      </c>
      <c r="M335">
        <f>DATEDIF(Table1_1[[#This Row],[Order Date]],Table1_1[[#This Row],[Ship Date]],"D")</f>
        <v>3</v>
      </c>
    </row>
    <row r="336" spans="1:13" x14ac:dyDescent="0.35">
      <c r="A336" t="s">
        <v>648</v>
      </c>
      <c r="B336" t="s">
        <v>457</v>
      </c>
      <c r="C336" t="s">
        <v>259</v>
      </c>
      <c r="D336" s="2">
        <v>4094.83</v>
      </c>
      <c r="E336">
        <v>4</v>
      </c>
      <c r="F336">
        <v>0.1</v>
      </c>
      <c r="G336" t="s">
        <v>39</v>
      </c>
      <c r="H336" t="s">
        <v>21</v>
      </c>
      <c r="I336" t="s">
        <v>16</v>
      </c>
      <c r="J336" s="2">
        <f>Table1_1[[#This Row],[Sales]]-Table1_1[[#This Row],[Sales]]*Table1_1[[#This Row],[Discount]]</f>
        <v>3685.3469999999998</v>
      </c>
      <c r="K336" s="1">
        <v>45486</v>
      </c>
      <c r="L336" s="11">
        <v>45487</v>
      </c>
      <c r="M336">
        <f>DATEDIF(Table1_1[[#This Row],[Order Date]],Table1_1[[#This Row],[Ship Date]],"D")</f>
        <v>1</v>
      </c>
    </row>
    <row r="337" spans="1:13" x14ac:dyDescent="0.35">
      <c r="A337" t="s">
        <v>649</v>
      </c>
      <c r="B337" t="s">
        <v>650</v>
      </c>
      <c r="C337" t="s">
        <v>341</v>
      </c>
      <c r="D337" s="2">
        <v>595.71</v>
      </c>
      <c r="E337">
        <v>4</v>
      </c>
      <c r="F337">
        <v>0</v>
      </c>
      <c r="G337" t="s">
        <v>14</v>
      </c>
      <c r="H337" t="s">
        <v>21</v>
      </c>
      <c r="I337" t="s">
        <v>16</v>
      </c>
      <c r="J337" s="2">
        <f>Table1_1[[#This Row],[Sales]]-Table1_1[[#This Row],[Sales]]*Table1_1[[#This Row],[Discount]]</f>
        <v>595.71</v>
      </c>
      <c r="K337" s="1">
        <v>45477</v>
      </c>
      <c r="L337" s="11">
        <v>45478</v>
      </c>
      <c r="M337">
        <f>DATEDIF(Table1_1[[#This Row],[Order Date]],Table1_1[[#This Row],[Ship Date]],"D")</f>
        <v>1</v>
      </c>
    </row>
    <row r="338" spans="1:13" x14ac:dyDescent="0.35">
      <c r="A338" t="s">
        <v>651</v>
      </c>
      <c r="B338" t="s">
        <v>652</v>
      </c>
      <c r="C338" t="s">
        <v>31</v>
      </c>
      <c r="D338" s="2">
        <v>4957.05</v>
      </c>
      <c r="E338">
        <v>9</v>
      </c>
      <c r="F338">
        <v>0</v>
      </c>
      <c r="G338" t="s">
        <v>14</v>
      </c>
      <c r="H338" t="s">
        <v>15</v>
      </c>
      <c r="I338" t="s">
        <v>16</v>
      </c>
      <c r="J338" s="2">
        <f>Table1_1[[#This Row],[Sales]]-Table1_1[[#This Row],[Sales]]*Table1_1[[#This Row],[Discount]]</f>
        <v>4957.05</v>
      </c>
      <c r="K338" s="1">
        <v>45676</v>
      </c>
      <c r="L338" s="11">
        <v>45678</v>
      </c>
      <c r="M338">
        <f>DATEDIF(Table1_1[[#This Row],[Order Date]],Table1_1[[#This Row],[Ship Date]],"D")</f>
        <v>2</v>
      </c>
    </row>
    <row r="339" spans="1:13" x14ac:dyDescent="0.35">
      <c r="A339" t="s">
        <v>653</v>
      </c>
      <c r="B339" t="s">
        <v>396</v>
      </c>
      <c r="C339" t="s">
        <v>99</v>
      </c>
      <c r="D339" s="2">
        <v>266.72000000000003</v>
      </c>
      <c r="E339">
        <v>5</v>
      </c>
      <c r="F339">
        <v>0.3</v>
      </c>
      <c r="G339" t="s">
        <v>39</v>
      </c>
      <c r="H339" t="s">
        <v>21</v>
      </c>
      <c r="I339" t="s">
        <v>20</v>
      </c>
      <c r="J339" s="2">
        <f>Table1_1[[#This Row],[Sales]]-Table1_1[[#This Row],[Sales]]*Table1_1[[#This Row],[Discount]]</f>
        <v>186.70400000000001</v>
      </c>
      <c r="K339" s="1">
        <v>45093</v>
      </c>
      <c r="L339" s="11">
        <v>45099</v>
      </c>
      <c r="M339">
        <f>DATEDIF(Table1_1[[#This Row],[Order Date]],Table1_1[[#This Row],[Ship Date]],"D")</f>
        <v>6</v>
      </c>
    </row>
    <row r="340" spans="1:13" x14ac:dyDescent="0.35">
      <c r="A340" t="s">
        <v>654</v>
      </c>
      <c r="B340" t="s">
        <v>655</v>
      </c>
      <c r="C340" t="s">
        <v>102</v>
      </c>
      <c r="D340" s="2">
        <v>1617.65</v>
      </c>
      <c r="E340">
        <v>8</v>
      </c>
      <c r="F340">
        <v>0.1</v>
      </c>
      <c r="G340" t="s">
        <v>14</v>
      </c>
      <c r="H340" t="s">
        <v>21</v>
      </c>
      <c r="I340" t="s">
        <v>43</v>
      </c>
      <c r="J340" s="2">
        <f>Table1_1[[#This Row],[Sales]]-Table1_1[[#This Row],[Sales]]*Table1_1[[#This Row],[Discount]]</f>
        <v>1455.885</v>
      </c>
      <c r="K340" s="1">
        <v>45575</v>
      </c>
      <c r="L340" s="11">
        <v>45581</v>
      </c>
      <c r="M340">
        <f>DATEDIF(Table1_1[[#This Row],[Order Date]],Table1_1[[#This Row],[Ship Date]],"D")</f>
        <v>6</v>
      </c>
    </row>
    <row r="341" spans="1:13" x14ac:dyDescent="0.35">
      <c r="A341" t="s">
        <v>656</v>
      </c>
      <c r="B341" t="s">
        <v>657</v>
      </c>
      <c r="C341" t="s">
        <v>354</v>
      </c>
      <c r="D341" s="2">
        <v>3314.15</v>
      </c>
      <c r="E341">
        <v>2</v>
      </c>
      <c r="F341">
        <v>0</v>
      </c>
      <c r="G341" t="s">
        <v>14</v>
      </c>
      <c r="H341" t="s">
        <v>15</v>
      </c>
      <c r="I341" t="s">
        <v>20</v>
      </c>
      <c r="J341" s="2">
        <f>Table1_1[[#This Row],[Sales]]-Table1_1[[#This Row],[Sales]]*Table1_1[[#This Row],[Discount]]</f>
        <v>3314.15</v>
      </c>
      <c r="K341" s="1">
        <v>44998</v>
      </c>
      <c r="L341" s="11">
        <v>45002</v>
      </c>
      <c r="M341">
        <f>DATEDIF(Table1_1[[#This Row],[Order Date]],Table1_1[[#This Row],[Ship Date]],"D")</f>
        <v>4</v>
      </c>
    </row>
    <row r="342" spans="1:13" x14ac:dyDescent="0.35">
      <c r="A342" t="s">
        <v>658</v>
      </c>
      <c r="B342" t="s">
        <v>345</v>
      </c>
      <c r="C342" t="s">
        <v>408</v>
      </c>
      <c r="D342" s="2">
        <v>2643.95</v>
      </c>
      <c r="E342">
        <v>5</v>
      </c>
      <c r="F342">
        <v>0.2</v>
      </c>
      <c r="G342" t="s">
        <v>39</v>
      </c>
      <c r="H342" t="s">
        <v>21</v>
      </c>
      <c r="I342" t="s">
        <v>20</v>
      </c>
      <c r="J342" s="2">
        <f>Table1_1[[#This Row],[Sales]]-Table1_1[[#This Row],[Sales]]*Table1_1[[#This Row],[Discount]]</f>
        <v>2115.16</v>
      </c>
      <c r="K342" s="1">
        <v>45048</v>
      </c>
      <c r="L342" s="11">
        <v>45055</v>
      </c>
      <c r="M342">
        <f>DATEDIF(Table1_1[[#This Row],[Order Date]],Table1_1[[#This Row],[Ship Date]],"D")</f>
        <v>7</v>
      </c>
    </row>
    <row r="343" spans="1:13" x14ac:dyDescent="0.35">
      <c r="A343" t="s">
        <v>659</v>
      </c>
      <c r="B343" t="s">
        <v>86</v>
      </c>
      <c r="C343" t="s">
        <v>278</v>
      </c>
      <c r="D343" s="2">
        <v>967.06</v>
      </c>
      <c r="E343">
        <v>6</v>
      </c>
      <c r="F343">
        <v>0</v>
      </c>
      <c r="G343" t="s">
        <v>14</v>
      </c>
      <c r="H343" t="s">
        <v>21</v>
      </c>
      <c r="I343" t="s">
        <v>16</v>
      </c>
      <c r="J343" s="2">
        <f>Table1_1[[#This Row],[Sales]]-Table1_1[[#This Row],[Sales]]*Table1_1[[#This Row],[Discount]]</f>
        <v>967.06</v>
      </c>
      <c r="K343" s="1">
        <v>45650</v>
      </c>
      <c r="L343" s="11">
        <v>45657</v>
      </c>
      <c r="M343">
        <f>DATEDIF(Table1_1[[#This Row],[Order Date]],Table1_1[[#This Row],[Ship Date]],"D")</f>
        <v>7</v>
      </c>
    </row>
    <row r="344" spans="1:13" x14ac:dyDescent="0.35">
      <c r="A344" t="s">
        <v>660</v>
      </c>
      <c r="B344" t="s">
        <v>661</v>
      </c>
      <c r="C344" t="s">
        <v>662</v>
      </c>
      <c r="D344" s="2">
        <v>2022.7</v>
      </c>
      <c r="E344">
        <v>5</v>
      </c>
      <c r="F344">
        <v>0.2</v>
      </c>
      <c r="G344" t="s">
        <v>14</v>
      </c>
      <c r="H344" t="s">
        <v>15</v>
      </c>
      <c r="I344" t="s">
        <v>20</v>
      </c>
      <c r="J344" s="2">
        <f>Table1_1[[#This Row],[Sales]]-Table1_1[[#This Row],[Sales]]*Table1_1[[#This Row],[Discount]]</f>
        <v>1618.16</v>
      </c>
      <c r="K344" s="1">
        <v>45008</v>
      </c>
      <c r="L344" s="11">
        <v>45013</v>
      </c>
      <c r="M344">
        <f>DATEDIF(Table1_1[[#This Row],[Order Date]],Table1_1[[#This Row],[Ship Date]],"D")</f>
        <v>5</v>
      </c>
    </row>
    <row r="345" spans="1:13" x14ac:dyDescent="0.35">
      <c r="A345" t="s">
        <v>663</v>
      </c>
      <c r="B345" t="s">
        <v>664</v>
      </c>
      <c r="C345" t="s">
        <v>204</v>
      </c>
      <c r="D345" s="2">
        <v>2178.2199999999998</v>
      </c>
      <c r="E345">
        <v>10</v>
      </c>
      <c r="F345">
        <v>0.2</v>
      </c>
      <c r="G345" t="s">
        <v>39</v>
      </c>
      <c r="H345" t="s">
        <v>15</v>
      </c>
      <c r="I345" t="s">
        <v>20</v>
      </c>
      <c r="J345" s="2">
        <f>Table1_1[[#This Row],[Sales]]-Table1_1[[#This Row],[Sales]]*Table1_1[[#This Row],[Discount]]</f>
        <v>1742.5759999999998</v>
      </c>
      <c r="K345" s="1">
        <v>44984</v>
      </c>
      <c r="L345" s="11">
        <v>44991</v>
      </c>
      <c r="M345">
        <f>DATEDIF(Table1_1[[#This Row],[Order Date]],Table1_1[[#This Row],[Ship Date]],"D")</f>
        <v>7</v>
      </c>
    </row>
    <row r="346" spans="1:13" x14ac:dyDescent="0.35">
      <c r="A346" t="s">
        <v>665</v>
      </c>
      <c r="B346" t="s">
        <v>371</v>
      </c>
      <c r="C346" t="s">
        <v>31</v>
      </c>
      <c r="D346" s="2">
        <v>2751.25</v>
      </c>
      <c r="E346">
        <v>1</v>
      </c>
      <c r="F346">
        <v>0.3</v>
      </c>
      <c r="G346" t="s">
        <v>19</v>
      </c>
      <c r="H346" t="s">
        <v>15</v>
      </c>
      <c r="I346" t="s">
        <v>43</v>
      </c>
      <c r="J346" s="2">
        <f>Table1_1[[#This Row],[Sales]]-Table1_1[[#This Row],[Sales]]*Table1_1[[#This Row],[Discount]]</f>
        <v>1925.875</v>
      </c>
      <c r="K346" s="1">
        <v>45500</v>
      </c>
      <c r="L346" s="11">
        <v>45507</v>
      </c>
      <c r="M346">
        <f>DATEDIF(Table1_1[[#This Row],[Order Date]],Table1_1[[#This Row],[Ship Date]],"D")</f>
        <v>7</v>
      </c>
    </row>
    <row r="347" spans="1:13" x14ac:dyDescent="0.35">
      <c r="A347" t="s">
        <v>666</v>
      </c>
      <c r="B347" t="s">
        <v>159</v>
      </c>
      <c r="C347" t="s">
        <v>143</v>
      </c>
      <c r="D347" s="2">
        <v>1969.92</v>
      </c>
      <c r="E347">
        <v>4</v>
      </c>
      <c r="F347">
        <v>0</v>
      </c>
      <c r="G347" t="s">
        <v>19</v>
      </c>
      <c r="H347" t="s">
        <v>21</v>
      </c>
      <c r="I347" t="s">
        <v>20</v>
      </c>
      <c r="J347" s="2">
        <f>Table1_1[[#This Row],[Sales]]-Table1_1[[#This Row],[Sales]]*Table1_1[[#This Row],[Discount]]</f>
        <v>1969.92</v>
      </c>
      <c r="K347" s="1">
        <v>45213</v>
      </c>
      <c r="L347" s="11">
        <v>45216</v>
      </c>
      <c r="M347">
        <f>DATEDIF(Table1_1[[#This Row],[Order Date]],Table1_1[[#This Row],[Ship Date]],"D")</f>
        <v>3</v>
      </c>
    </row>
    <row r="348" spans="1:13" x14ac:dyDescent="0.35">
      <c r="A348" t="s">
        <v>667</v>
      </c>
      <c r="B348" t="s">
        <v>575</v>
      </c>
      <c r="C348" t="s">
        <v>77</v>
      </c>
      <c r="D348" s="2">
        <v>1944.79</v>
      </c>
      <c r="E348">
        <v>3</v>
      </c>
      <c r="F348">
        <v>0.2</v>
      </c>
      <c r="G348" t="s">
        <v>39</v>
      </c>
      <c r="H348" t="s">
        <v>15</v>
      </c>
      <c r="I348" t="s">
        <v>43</v>
      </c>
      <c r="J348" s="2">
        <f>Table1_1[[#This Row],[Sales]]-Table1_1[[#This Row],[Sales]]*Table1_1[[#This Row],[Discount]]</f>
        <v>1555.8319999999999</v>
      </c>
      <c r="K348" s="1">
        <v>45399</v>
      </c>
      <c r="L348" s="11">
        <v>45402</v>
      </c>
      <c r="M348">
        <f>DATEDIF(Table1_1[[#This Row],[Order Date]],Table1_1[[#This Row],[Ship Date]],"D")</f>
        <v>3</v>
      </c>
    </row>
    <row r="349" spans="1:13" x14ac:dyDescent="0.35">
      <c r="A349" t="s">
        <v>668</v>
      </c>
      <c r="B349" t="s">
        <v>236</v>
      </c>
      <c r="C349" t="s">
        <v>441</v>
      </c>
      <c r="D349" s="2">
        <v>3557.15</v>
      </c>
      <c r="E349">
        <v>6</v>
      </c>
      <c r="F349">
        <v>0.1</v>
      </c>
      <c r="G349" t="s">
        <v>14</v>
      </c>
      <c r="H349" t="s">
        <v>21</v>
      </c>
      <c r="I349" t="s">
        <v>43</v>
      </c>
      <c r="J349" s="2">
        <f>Table1_1[[#This Row],[Sales]]-Table1_1[[#This Row],[Sales]]*Table1_1[[#This Row],[Discount]]</f>
        <v>3201.4349999999999</v>
      </c>
      <c r="K349" s="1">
        <v>45565</v>
      </c>
      <c r="L349" s="11">
        <v>45568</v>
      </c>
      <c r="M349">
        <f>DATEDIF(Table1_1[[#This Row],[Order Date]],Table1_1[[#This Row],[Ship Date]],"D")</f>
        <v>3</v>
      </c>
    </row>
    <row r="350" spans="1:13" x14ac:dyDescent="0.35">
      <c r="A350" t="s">
        <v>669</v>
      </c>
      <c r="B350" t="s">
        <v>670</v>
      </c>
      <c r="C350" t="s">
        <v>278</v>
      </c>
      <c r="D350" s="2">
        <v>3152.75</v>
      </c>
      <c r="E350">
        <v>5</v>
      </c>
      <c r="F350">
        <v>0.1</v>
      </c>
      <c r="G350" t="s">
        <v>14</v>
      </c>
      <c r="H350" t="s">
        <v>21</v>
      </c>
      <c r="I350" t="s">
        <v>43</v>
      </c>
      <c r="J350" s="2">
        <f>Table1_1[[#This Row],[Sales]]-Table1_1[[#This Row],[Sales]]*Table1_1[[#This Row],[Discount]]</f>
        <v>2837.4749999999999</v>
      </c>
      <c r="K350" s="1">
        <v>45455</v>
      </c>
      <c r="L350" s="11">
        <v>45459</v>
      </c>
      <c r="M350">
        <f>DATEDIF(Table1_1[[#This Row],[Order Date]],Table1_1[[#This Row],[Ship Date]],"D")</f>
        <v>4</v>
      </c>
    </row>
    <row r="351" spans="1:13" x14ac:dyDescent="0.35">
      <c r="A351" t="s">
        <v>671</v>
      </c>
      <c r="B351" t="s">
        <v>672</v>
      </c>
      <c r="C351" t="s">
        <v>211</v>
      </c>
      <c r="D351" s="2">
        <v>660.33</v>
      </c>
      <c r="E351">
        <v>3</v>
      </c>
      <c r="F351">
        <v>0.2</v>
      </c>
      <c r="G351" t="s">
        <v>14</v>
      </c>
      <c r="H351" t="s">
        <v>21</v>
      </c>
      <c r="I351" t="s">
        <v>20</v>
      </c>
      <c r="J351" s="2">
        <f>Table1_1[[#This Row],[Sales]]-Table1_1[[#This Row],[Sales]]*Table1_1[[#This Row],[Discount]]</f>
        <v>528.26400000000001</v>
      </c>
      <c r="K351" s="1">
        <v>45574</v>
      </c>
      <c r="L351" s="11">
        <v>45580</v>
      </c>
      <c r="M351">
        <f>DATEDIF(Table1_1[[#This Row],[Order Date]],Table1_1[[#This Row],[Ship Date]],"D")</f>
        <v>6</v>
      </c>
    </row>
    <row r="352" spans="1:13" x14ac:dyDescent="0.35">
      <c r="A352" t="s">
        <v>673</v>
      </c>
      <c r="B352" t="s">
        <v>674</v>
      </c>
      <c r="C352" t="s">
        <v>388</v>
      </c>
      <c r="D352" s="2">
        <v>1845.51</v>
      </c>
      <c r="E352">
        <v>5</v>
      </c>
      <c r="F352">
        <v>0.3</v>
      </c>
      <c r="G352" t="s">
        <v>39</v>
      </c>
      <c r="H352" t="s">
        <v>15</v>
      </c>
      <c r="I352" t="s">
        <v>20</v>
      </c>
      <c r="J352" s="2">
        <f>Table1_1[[#This Row],[Sales]]-Table1_1[[#This Row],[Sales]]*Table1_1[[#This Row],[Discount]]</f>
        <v>1291.857</v>
      </c>
      <c r="K352" s="1">
        <v>45545</v>
      </c>
      <c r="L352" s="11">
        <v>45546</v>
      </c>
      <c r="M352">
        <f>DATEDIF(Table1_1[[#This Row],[Order Date]],Table1_1[[#This Row],[Ship Date]],"D")</f>
        <v>1</v>
      </c>
    </row>
    <row r="353" spans="1:13" x14ac:dyDescent="0.35">
      <c r="A353" t="s">
        <v>675</v>
      </c>
      <c r="B353" t="s">
        <v>426</v>
      </c>
      <c r="C353" t="s">
        <v>336</v>
      </c>
      <c r="D353" s="2">
        <v>1079.96</v>
      </c>
      <c r="E353">
        <v>2</v>
      </c>
      <c r="F353">
        <v>0.1</v>
      </c>
      <c r="G353" t="s">
        <v>14</v>
      </c>
      <c r="H353" t="s">
        <v>15</v>
      </c>
      <c r="I353" t="s">
        <v>43</v>
      </c>
      <c r="J353" s="2">
        <f>Table1_1[[#This Row],[Sales]]-Table1_1[[#This Row],[Sales]]*Table1_1[[#This Row],[Discount]]</f>
        <v>971.96400000000006</v>
      </c>
      <c r="K353" s="1">
        <v>45432</v>
      </c>
      <c r="L353" s="11">
        <v>45439</v>
      </c>
      <c r="M353">
        <f>DATEDIF(Table1_1[[#This Row],[Order Date]],Table1_1[[#This Row],[Ship Date]],"D")</f>
        <v>7</v>
      </c>
    </row>
    <row r="354" spans="1:13" x14ac:dyDescent="0.35">
      <c r="A354" t="s">
        <v>676</v>
      </c>
      <c r="B354" t="s">
        <v>110</v>
      </c>
      <c r="C354" t="s">
        <v>565</v>
      </c>
      <c r="D354" s="2">
        <v>4172.21</v>
      </c>
      <c r="E354">
        <v>9</v>
      </c>
      <c r="F354">
        <v>0</v>
      </c>
      <c r="G354" t="s">
        <v>39</v>
      </c>
      <c r="H354" t="s">
        <v>21</v>
      </c>
      <c r="I354" t="s">
        <v>16</v>
      </c>
      <c r="J354" s="2">
        <f>Table1_1[[#This Row],[Sales]]-Table1_1[[#This Row],[Sales]]*Table1_1[[#This Row],[Discount]]</f>
        <v>4172.21</v>
      </c>
      <c r="K354" s="1">
        <v>45095</v>
      </c>
      <c r="L354" s="11">
        <v>45097</v>
      </c>
      <c r="M354">
        <f>DATEDIF(Table1_1[[#This Row],[Order Date]],Table1_1[[#This Row],[Ship Date]],"D")</f>
        <v>2</v>
      </c>
    </row>
    <row r="355" spans="1:13" x14ac:dyDescent="0.35">
      <c r="A355" t="s">
        <v>677</v>
      </c>
      <c r="B355" t="s">
        <v>250</v>
      </c>
      <c r="C355" t="s">
        <v>175</v>
      </c>
      <c r="D355" s="2">
        <v>4153.82</v>
      </c>
      <c r="E355">
        <v>9</v>
      </c>
      <c r="F355">
        <v>0.2</v>
      </c>
      <c r="G355" t="s">
        <v>14</v>
      </c>
      <c r="H355" t="s">
        <v>15</v>
      </c>
      <c r="I355" t="s">
        <v>16</v>
      </c>
      <c r="J355" s="2">
        <f>Table1_1[[#This Row],[Sales]]-Table1_1[[#This Row],[Sales]]*Table1_1[[#This Row],[Discount]]</f>
        <v>3323.0559999999996</v>
      </c>
      <c r="K355" s="1">
        <v>45495</v>
      </c>
      <c r="L355" s="11">
        <v>45502</v>
      </c>
      <c r="M355">
        <f>DATEDIF(Table1_1[[#This Row],[Order Date]],Table1_1[[#This Row],[Ship Date]],"D")</f>
        <v>7</v>
      </c>
    </row>
    <row r="356" spans="1:13" x14ac:dyDescent="0.35">
      <c r="A356" t="s">
        <v>678</v>
      </c>
      <c r="B356" t="s">
        <v>679</v>
      </c>
      <c r="C356" t="s">
        <v>169</v>
      </c>
      <c r="D356" s="2">
        <v>849.54</v>
      </c>
      <c r="E356">
        <v>2</v>
      </c>
      <c r="F356">
        <v>0.3</v>
      </c>
      <c r="G356" t="s">
        <v>14</v>
      </c>
      <c r="H356" t="s">
        <v>21</v>
      </c>
      <c r="I356" t="s">
        <v>43</v>
      </c>
      <c r="J356" s="2">
        <f>Table1_1[[#This Row],[Sales]]-Table1_1[[#This Row],[Sales]]*Table1_1[[#This Row],[Discount]]</f>
        <v>594.678</v>
      </c>
      <c r="K356" s="1">
        <v>45378</v>
      </c>
      <c r="L356" s="11">
        <v>45379</v>
      </c>
      <c r="M356">
        <f>DATEDIF(Table1_1[[#This Row],[Order Date]],Table1_1[[#This Row],[Ship Date]],"D")</f>
        <v>1</v>
      </c>
    </row>
    <row r="357" spans="1:13" x14ac:dyDescent="0.35">
      <c r="A357" t="s">
        <v>680</v>
      </c>
      <c r="B357" t="s">
        <v>387</v>
      </c>
      <c r="C357" t="s">
        <v>237</v>
      </c>
      <c r="D357" s="2">
        <v>2734.32</v>
      </c>
      <c r="E357">
        <v>8</v>
      </c>
      <c r="F357">
        <v>0</v>
      </c>
      <c r="G357" t="s">
        <v>14</v>
      </c>
      <c r="H357" t="s">
        <v>15</v>
      </c>
      <c r="I357" t="s">
        <v>16</v>
      </c>
      <c r="J357" s="2">
        <f>Table1_1[[#This Row],[Sales]]-Table1_1[[#This Row],[Sales]]*Table1_1[[#This Row],[Discount]]</f>
        <v>2734.32</v>
      </c>
      <c r="K357" s="1">
        <v>45134</v>
      </c>
      <c r="L357" s="11">
        <v>45136</v>
      </c>
      <c r="M357">
        <f>DATEDIF(Table1_1[[#This Row],[Order Date]],Table1_1[[#This Row],[Ship Date]],"D")</f>
        <v>2</v>
      </c>
    </row>
    <row r="358" spans="1:13" x14ac:dyDescent="0.35">
      <c r="A358" t="s">
        <v>681</v>
      </c>
      <c r="B358" t="s">
        <v>438</v>
      </c>
      <c r="C358" t="s">
        <v>108</v>
      </c>
      <c r="D358" s="2">
        <v>230.67</v>
      </c>
      <c r="E358">
        <v>3</v>
      </c>
      <c r="F358">
        <v>0.3</v>
      </c>
      <c r="G358" t="s">
        <v>14</v>
      </c>
      <c r="H358" t="s">
        <v>15</v>
      </c>
      <c r="I358" t="s">
        <v>16</v>
      </c>
      <c r="J358" s="2">
        <f>Table1_1[[#This Row],[Sales]]-Table1_1[[#This Row],[Sales]]*Table1_1[[#This Row],[Discount]]</f>
        <v>161.46899999999999</v>
      </c>
      <c r="K358" s="1">
        <v>45606</v>
      </c>
      <c r="L358" s="11">
        <v>45610</v>
      </c>
      <c r="M358">
        <f>DATEDIF(Table1_1[[#This Row],[Order Date]],Table1_1[[#This Row],[Ship Date]],"D")</f>
        <v>4</v>
      </c>
    </row>
    <row r="359" spans="1:13" x14ac:dyDescent="0.35">
      <c r="A359" t="s">
        <v>682</v>
      </c>
      <c r="B359" t="s">
        <v>351</v>
      </c>
      <c r="C359" t="s">
        <v>178</v>
      </c>
      <c r="D359" s="2">
        <v>559.75</v>
      </c>
      <c r="E359">
        <v>3</v>
      </c>
      <c r="F359">
        <v>0.3</v>
      </c>
      <c r="G359" t="s">
        <v>39</v>
      </c>
      <c r="H359" t="s">
        <v>21</v>
      </c>
      <c r="I359" t="s">
        <v>20</v>
      </c>
      <c r="J359" s="2">
        <f>Table1_1[[#This Row],[Sales]]-Table1_1[[#This Row],[Sales]]*Table1_1[[#This Row],[Discount]]</f>
        <v>391.82500000000005</v>
      </c>
      <c r="K359" s="1">
        <v>45457</v>
      </c>
      <c r="L359" s="11">
        <v>45461</v>
      </c>
      <c r="M359">
        <f>DATEDIF(Table1_1[[#This Row],[Order Date]],Table1_1[[#This Row],[Ship Date]],"D")</f>
        <v>4</v>
      </c>
    </row>
    <row r="360" spans="1:13" x14ac:dyDescent="0.35">
      <c r="A360" t="s">
        <v>683</v>
      </c>
      <c r="B360" t="s">
        <v>480</v>
      </c>
      <c r="C360" t="s">
        <v>268</v>
      </c>
      <c r="D360" s="2">
        <v>2148.9299999999998</v>
      </c>
      <c r="E360">
        <v>3</v>
      </c>
      <c r="F360">
        <v>0.1</v>
      </c>
      <c r="G360" t="s">
        <v>14</v>
      </c>
      <c r="H360" t="s">
        <v>15</v>
      </c>
      <c r="I360" t="s">
        <v>20</v>
      </c>
      <c r="J360" s="2">
        <f>Table1_1[[#This Row],[Sales]]-Table1_1[[#This Row],[Sales]]*Table1_1[[#This Row],[Discount]]</f>
        <v>1934.0369999999998</v>
      </c>
      <c r="K360" s="1">
        <v>45820</v>
      </c>
      <c r="L360" s="11">
        <v>45823</v>
      </c>
      <c r="M360">
        <f>DATEDIF(Table1_1[[#This Row],[Order Date]],Table1_1[[#This Row],[Ship Date]],"D")</f>
        <v>3</v>
      </c>
    </row>
    <row r="361" spans="1:13" x14ac:dyDescent="0.35">
      <c r="A361" t="s">
        <v>684</v>
      </c>
      <c r="B361" t="s">
        <v>301</v>
      </c>
      <c r="C361" t="s">
        <v>259</v>
      </c>
      <c r="D361" s="2">
        <v>2719.71</v>
      </c>
      <c r="E361">
        <v>8</v>
      </c>
      <c r="F361">
        <v>0.1</v>
      </c>
      <c r="G361" t="s">
        <v>39</v>
      </c>
      <c r="H361" t="s">
        <v>15</v>
      </c>
      <c r="I361" t="s">
        <v>43</v>
      </c>
      <c r="J361" s="2">
        <f>Table1_1[[#This Row],[Sales]]-Table1_1[[#This Row],[Sales]]*Table1_1[[#This Row],[Discount]]</f>
        <v>2447.739</v>
      </c>
      <c r="K361" s="1">
        <v>45386</v>
      </c>
      <c r="L361" s="11">
        <v>45388</v>
      </c>
      <c r="M361">
        <f>DATEDIF(Table1_1[[#This Row],[Order Date]],Table1_1[[#This Row],[Ship Date]],"D")</f>
        <v>2</v>
      </c>
    </row>
    <row r="362" spans="1:13" x14ac:dyDescent="0.35">
      <c r="A362" t="s">
        <v>685</v>
      </c>
      <c r="B362" t="s">
        <v>12</v>
      </c>
      <c r="C362" t="s">
        <v>108</v>
      </c>
      <c r="D362" s="2">
        <v>3580.92</v>
      </c>
      <c r="E362">
        <v>2</v>
      </c>
      <c r="F362">
        <v>0</v>
      </c>
      <c r="G362" t="s">
        <v>19</v>
      </c>
      <c r="H362" t="s">
        <v>15</v>
      </c>
      <c r="I362" t="s">
        <v>43</v>
      </c>
      <c r="J362" s="2">
        <f>Table1_1[[#This Row],[Sales]]-Table1_1[[#This Row],[Sales]]*Table1_1[[#This Row],[Discount]]</f>
        <v>3580.92</v>
      </c>
      <c r="K362" s="1">
        <v>45739</v>
      </c>
      <c r="L362" s="11">
        <v>45744</v>
      </c>
      <c r="M362">
        <f>DATEDIF(Table1_1[[#This Row],[Order Date]],Table1_1[[#This Row],[Ship Date]],"D")</f>
        <v>5</v>
      </c>
    </row>
    <row r="363" spans="1:13" x14ac:dyDescent="0.35">
      <c r="A363" t="s">
        <v>686</v>
      </c>
      <c r="B363" t="s">
        <v>687</v>
      </c>
      <c r="C363" t="s">
        <v>118</v>
      </c>
      <c r="D363" s="2">
        <v>2965</v>
      </c>
      <c r="E363">
        <v>7</v>
      </c>
      <c r="F363">
        <v>0.1</v>
      </c>
      <c r="G363" t="s">
        <v>14</v>
      </c>
      <c r="H363" t="s">
        <v>21</v>
      </c>
      <c r="I363" t="s">
        <v>16</v>
      </c>
      <c r="J363" s="2">
        <f>Table1_1[[#This Row],[Sales]]-Table1_1[[#This Row],[Sales]]*Table1_1[[#This Row],[Discount]]</f>
        <v>2668.5</v>
      </c>
      <c r="K363" s="1">
        <v>45521</v>
      </c>
      <c r="L363" s="11">
        <v>45524</v>
      </c>
      <c r="M363">
        <f>DATEDIF(Table1_1[[#This Row],[Order Date]],Table1_1[[#This Row],[Ship Date]],"D")</f>
        <v>3</v>
      </c>
    </row>
    <row r="364" spans="1:13" x14ac:dyDescent="0.35">
      <c r="A364" t="s">
        <v>688</v>
      </c>
      <c r="B364" t="s">
        <v>79</v>
      </c>
      <c r="C364" t="s">
        <v>240</v>
      </c>
      <c r="D364" s="2">
        <v>1779.81</v>
      </c>
      <c r="E364">
        <v>4</v>
      </c>
      <c r="F364">
        <v>0</v>
      </c>
      <c r="G364" t="s">
        <v>39</v>
      </c>
      <c r="H364" t="s">
        <v>21</v>
      </c>
      <c r="I364" t="s">
        <v>43</v>
      </c>
      <c r="J364" s="2">
        <f>Table1_1[[#This Row],[Sales]]-Table1_1[[#This Row],[Sales]]*Table1_1[[#This Row],[Discount]]</f>
        <v>1779.81</v>
      </c>
      <c r="K364" s="1">
        <v>45722</v>
      </c>
      <c r="L364" s="11">
        <v>45726</v>
      </c>
      <c r="M364">
        <f>DATEDIF(Table1_1[[#This Row],[Order Date]],Table1_1[[#This Row],[Ship Date]],"D")</f>
        <v>4</v>
      </c>
    </row>
    <row r="365" spans="1:13" x14ac:dyDescent="0.35">
      <c r="A365" t="s">
        <v>689</v>
      </c>
      <c r="B365" t="s">
        <v>79</v>
      </c>
      <c r="C365" t="s">
        <v>265</v>
      </c>
      <c r="D365" s="2">
        <v>2902.7</v>
      </c>
      <c r="E365">
        <v>8</v>
      </c>
      <c r="F365">
        <v>0.1</v>
      </c>
      <c r="G365" t="s">
        <v>19</v>
      </c>
      <c r="H365" t="s">
        <v>15</v>
      </c>
      <c r="I365" t="s">
        <v>43</v>
      </c>
      <c r="J365" s="2">
        <f>Table1_1[[#This Row],[Sales]]-Table1_1[[#This Row],[Sales]]*Table1_1[[#This Row],[Discount]]</f>
        <v>2612.4299999999998</v>
      </c>
      <c r="K365" s="1">
        <v>45072</v>
      </c>
      <c r="L365" s="11">
        <v>45076</v>
      </c>
      <c r="M365">
        <f>DATEDIF(Table1_1[[#This Row],[Order Date]],Table1_1[[#This Row],[Ship Date]],"D")</f>
        <v>4</v>
      </c>
    </row>
    <row r="366" spans="1:13" x14ac:dyDescent="0.35">
      <c r="A366" t="s">
        <v>690</v>
      </c>
      <c r="B366" t="s">
        <v>691</v>
      </c>
      <c r="C366" t="s">
        <v>42</v>
      </c>
      <c r="D366" s="2">
        <v>2070.38</v>
      </c>
      <c r="E366">
        <v>6</v>
      </c>
      <c r="F366">
        <v>0.3</v>
      </c>
      <c r="G366" t="s">
        <v>14</v>
      </c>
      <c r="H366" t="s">
        <v>15</v>
      </c>
      <c r="I366" t="s">
        <v>43</v>
      </c>
      <c r="J366" s="2">
        <f>Table1_1[[#This Row],[Sales]]-Table1_1[[#This Row],[Sales]]*Table1_1[[#This Row],[Discount]]</f>
        <v>1449.2660000000001</v>
      </c>
      <c r="K366" s="1">
        <v>45035</v>
      </c>
      <c r="L366" s="11">
        <v>45037</v>
      </c>
      <c r="M366">
        <f>DATEDIF(Table1_1[[#This Row],[Order Date]],Table1_1[[#This Row],[Ship Date]],"D")</f>
        <v>2</v>
      </c>
    </row>
    <row r="367" spans="1:13" x14ac:dyDescent="0.35">
      <c r="A367" t="s">
        <v>692</v>
      </c>
      <c r="B367" t="s">
        <v>528</v>
      </c>
      <c r="C367" t="s">
        <v>91</v>
      </c>
      <c r="D367" s="2">
        <v>2337.06</v>
      </c>
      <c r="E367">
        <v>3</v>
      </c>
      <c r="F367">
        <v>0.3</v>
      </c>
      <c r="G367" t="s">
        <v>39</v>
      </c>
      <c r="H367" t="s">
        <v>15</v>
      </c>
      <c r="I367" t="s">
        <v>16</v>
      </c>
      <c r="J367" s="2">
        <f>Table1_1[[#This Row],[Sales]]-Table1_1[[#This Row],[Sales]]*Table1_1[[#This Row],[Discount]]</f>
        <v>1635.942</v>
      </c>
      <c r="K367" s="1">
        <v>45044</v>
      </c>
      <c r="L367" s="11">
        <v>45045</v>
      </c>
      <c r="M367">
        <f>DATEDIF(Table1_1[[#This Row],[Order Date]],Table1_1[[#This Row],[Ship Date]],"D")</f>
        <v>1</v>
      </c>
    </row>
    <row r="368" spans="1:13" x14ac:dyDescent="0.35">
      <c r="A368" t="s">
        <v>693</v>
      </c>
      <c r="B368" t="s">
        <v>520</v>
      </c>
      <c r="C368" t="s">
        <v>376</v>
      </c>
      <c r="D368" s="2">
        <v>4229.92</v>
      </c>
      <c r="E368">
        <v>4</v>
      </c>
      <c r="F368">
        <v>0.1</v>
      </c>
      <c r="G368" t="s">
        <v>39</v>
      </c>
      <c r="H368" t="s">
        <v>15</v>
      </c>
      <c r="I368" t="s">
        <v>20</v>
      </c>
      <c r="J368" s="2">
        <f>Table1_1[[#This Row],[Sales]]-Table1_1[[#This Row],[Sales]]*Table1_1[[#This Row],[Discount]]</f>
        <v>3806.9279999999999</v>
      </c>
      <c r="K368" s="1">
        <v>45302</v>
      </c>
      <c r="L368" s="11">
        <v>45306</v>
      </c>
      <c r="M368">
        <f>DATEDIF(Table1_1[[#This Row],[Order Date]],Table1_1[[#This Row],[Ship Date]],"D")</f>
        <v>4</v>
      </c>
    </row>
    <row r="369" spans="1:13" x14ac:dyDescent="0.35">
      <c r="A369" t="s">
        <v>694</v>
      </c>
      <c r="B369" t="s">
        <v>568</v>
      </c>
      <c r="C369" t="s">
        <v>441</v>
      </c>
      <c r="D369" s="2">
        <v>580.09</v>
      </c>
      <c r="E369">
        <v>3</v>
      </c>
      <c r="F369">
        <v>0</v>
      </c>
      <c r="G369" t="s">
        <v>19</v>
      </c>
      <c r="H369" t="s">
        <v>15</v>
      </c>
      <c r="I369" t="s">
        <v>16</v>
      </c>
      <c r="J369" s="2">
        <f>Table1_1[[#This Row],[Sales]]-Table1_1[[#This Row],[Sales]]*Table1_1[[#This Row],[Discount]]</f>
        <v>580.09</v>
      </c>
      <c r="K369" s="1">
        <v>45769</v>
      </c>
      <c r="L369" s="11">
        <v>45770</v>
      </c>
      <c r="M369">
        <f>DATEDIF(Table1_1[[#This Row],[Order Date]],Table1_1[[#This Row],[Ship Date]],"D")</f>
        <v>1</v>
      </c>
    </row>
    <row r="370" spans="1:13" x14ac:dyDescent="0.35">
      <c r="A370" t="s">
        <v>695</v>
      </c>
      <c r="B370" t="s">
        <v>93</v>
      </c>
      <c r="C370" t="s">
        <v>696</v>
      </c>
      <c r="D370" s="2">
        <v>4865.9799999999996</v>
      </c>
      <c r="E370">
        <v>2</v>
      </c>
      <c r="F370">
        <v>0</v>
      </c>
      <c r="G370" t="s">
        <v>14</v>
      </c>
      <c r="H370" t="s">
        <v>15</v>
      </c>
      <c r="I370" t="s">
        <v>16</v>
      </c>
      <c r="J370" s="2">
        <f>Table1_1[[#This Row],[Sales]]-Table1_1[[#This Row],[Sales]]*Table1_1[[#This Row],[Discount]]</f>
        <v>4865.9799999999996</v>
      </c>
      <c r="K370" s="1">
        <v>45221</v>
      </c>
      <c r="L370" s="11">
        <v>45227</v>
      </c>
      <c r="M370">
        <f>DATEDIF(Table1_1[[#This Row],[Order Date]],Table1_1[[#This Row],[Ship Date]],"D")</f>
        <v>6</v>
      </c>
    </row>
    <row r="371" spans="1:13" x14ac:dyDescent="0.35">
      <c r="A371" t="s">
        <v>697</v>
      </c>
      <c r="B371" t="s">
        <v>196</v>
      </c>
      <c r="C371" t="s">
        <v>57</v>
      </c>
      <c r="D371" s="2">
        <v>798.42</v>
      </c>
      <c r="E371">
        <v>5</v>
      </c>
      <c r="F371">
        <v>0.1</v>
      </c>
      <c r="G371" t="s">
        <v>14</v>
      </c>
      <c r="H371" t="s">
        <v>15</v>
      </c>
      <c r="I371" t="s">
        <v>20</v>
      </c>
      <c r="J371" s="2">
        <f>Table1_1[[#This Row],[Sales]]-Table1_1[[#This Row],[Sales]]*Table1_1[[#This Row],[Discount]]</f>
        <v>718.57799999999997</v>
      </c>
      <c r="K371" s="1">
        <v>45752</v>
      </c>
      <c r="L371" s="11">
        <v>45754</v>
      </c>
      <c r="M371">
        <f>DATEDIF(Table1_1[[#This Row],[Order Date]],Table1_1[[#This Row],[Ship Date]],"D")</f>
        <v>2</v>
      </c>
    </row>
    <row r="372" spans="1:13" x14ac:dyDescent="0.35">
      <c r="A372" t="s">
        <v>698</v>
      </c>
      <c r="B372" t="s">
        <v>699</v>
      </c>
      <c r="C372" t="s">
        <v>254</v>
      </c>
      <c r="D372" s="2">
        <v>3160.23</v>
      </c>
      <c r="E372">
        <v>8</v>
      </c>
      <c r="F372">
        <v>0</v>
      </c>
      <c r="G372" t="s">
        <v>14</v>
      </c>
      <c r="H372" t="s">
        <v>21</v>
      </c>
      <c r="I372" t="s">
        <v>43</v>
      </c>
      <c r="J372" s="2">
        <f>Table1_1[[#This Row],[Sales]]-Table1_1[[#This Row],[Sales]]*Table1_1[[#This Row],[Discount]]</f>
        <v>3160.23</v>
      </c>
      <c r="K372" s="1">
        <v>45753</v>
      </c>
      <c r="L372" s="11">
        <v>45759</v>
      </c>
      <c r="M372">
        <f>DATEDIF(Table1_1[[#This Row],[Order Date]],Table1_1[[#This Row],[Ship Date]],"D")</f>
        <v>6</v>
      </c>
    </row>
    <row r="373" spans="1:13" x14ac:dyDescent="0.35">
      <c r="A373" t="s">
        <v>700</v>
      </c>
      <c r="B373" t="s">
        <v>151</v>
      </c>
      <c r="C373" t="s">
        <v>46</v>
      </c>
      <c r="D373" s="2">
        <v>261.37</v>
      </c>
      <c r="E373">
        <v>6</v>
      </c>
      <c r="F373">
        <v>0.3</v>
      </c>
      <c r="G373" t="s">
        <v>39</v>
      </c>
      <c r="H373" t="s">
        <v>21</v>
      </c>
      <c r="I373" t="s">
        <v>43</v>
      </c>
      <c r="J373" s="2">
        <f>Table1_1[[#This Row],[Sales]]-Table1_1[[#This Row],[Sales]]*Table1_1[[#This Row],[Discount]]</f>
        <v>182.959</v>
      </c>
      <c r="K373" s="1">
        <v>45789</v>
      </c>
      <c r="L373" s="11">
        <v>45793</v>
      </c>
      <c r="M373">
        <f>DATEDIF(Table1_1[[#This Row],[Order Date]],Table1_1[[#This Row],[Ship Date]],"D")</f>
        <v>4</v>
      </c>
    </row>
    <row r="374" spans="1:13" x14ac:dyDescent="0.35">
      <c r="A374" t="s">
        <v>701</v>
      </c>
      <c r="B374" t="s">
        <v>702</v>
      </c>
      <c r="C374" t="s">
        <v>384</v>
      </c>
      <c r="D374" s="2">
        <v>4392.53</v>
      </c>
      <c r="E374">
        <v>6</v>
      </c>
      <c r="F374">
        <v>0</v>
      </c>
      <c r="G374" t="s">
        <v>39</v>
      </c>
      <c r="H374" t="s">
        <v>21</v>
      </c>
      <c r="I374" t="s">
        <v>43</v>
      </c>
      <c r="J374" s="2">
        <f>Table1_1[[#This Row],[Sales]]-Table1_1[[#This Row],[Sales]]*Table1_1[[#This Row],[Discount]]</f>
        <v>4392.53</v>
      </c>
      <c r="K374" s="1">
        <v>45429</v>
      </c>
      <c r="L374" s="11">
        <v>45433</v>
      </c>
      <c r="M374">
        <f>DATEDIF(Table1_1[[#This Row],[Order Date]],Table1_1[[#This Row],[Ship Date]],"D")</f>
        <v>4</v>
      </c>
    </row>
    <row r="375" spans="1:13" x14ac:dyDescent="0.35">
      <c r="A375" t="s">
        <v>703</v>
      </c>
      <c r="B375" t="s">
        <v>704</v>
      </c>
      <c r="C375" t="s">
        <v>511</v>
      </c>
      <c r="D375" s="2">
        <v>4934.09</v>
      </c>
      <c r="E375">
        <v>8</v>
      </c>
      <c r="F375">
        <v>0.3</v>
      </c>
      <c r="G375" t="s">
        <v>14</v>
      </c>
      <c r="H375" t="s">
        <v>21</v>
      </c>
      <c r="I375" t="s">
        <v>43</v>
      </c>
      <c r="J375" s="2">
        <f>Table1_1[[#This Row],[Sales]]-Table1_1[[#This Row],[Sales]]*Table1_1[[#This Row],[Discount]]</f>
        <v>3453.8630000000003</v>
      </c>
      <c r="K375" s="1">
        <v>44929</v>
      </c>
      <c r="L375" s="11">
        <v>44935</v>
      </c>
      <c r="M375">
        <f>DATEDIF(Table1_1[[#This Row],[Order Date]],Table1_1[[#This Row],[Ship Date]],"D")</f>
        <v>6</v>
      </c>
    </row>
    <row r="376" spans="1:13" x14ac:dyDescent="0.35">
      <c r="A376" t="s">
        <v>705</v>
      </c>
      <c r="B376" t="s">
        <v>699</v>
      </c>
      <c r="C376" t="s">
        <v>226</v>
      </c>
      <c r="D376" s="2">
        <v>2074.65</v>
      </c>
      <c r="E376">
        <v>7</v>
      </c>
      <c r="F376">
        <v>0.3</v>
      </c>
      <c r="G376" t="s">
        <v>19</v>
      </c>
      <c r="H376" t="s">
        <v>15</v>
      </c>
      <c r="I376" t="s">
        <v>20</v>
      </c>
      <c r="J376" s="2">
        <f>Table1_1[[#This Row],[Sales]]-Table1_1[[#This Row],[Sales]]*Table1_1[[#This Row],[Discount]]</f>
        <v>1452.2550000000001</v>
      </c>
      <c r="K376" s="1">
        <v>45768</v>
      </c>
      <c r="L376" s="11">
        <v>45774</v>
      </c>
      <c r="M376">
        <f>DATEDIF(Table1_1[[#This Row],[Order Date]],Table1_1[[#This Row],[Ship Date]],"D")</f>
        <v>6</v>
      </c>
    </row>
    <row r="377" spans="1:13" x14ac:dyDescent="0.35">
      <c r="A377" t="s">
        <v>706</v>
      </c>
      <c r="B377" t="s">
        <v>445</v>
      </c>
      <c r="C377" t="s">
        <v>259</v>
      </c>
      <c r="D377" s="2">
        <v>3495.09</v>
      </c>
      <c r="E377">
        <v>1</v>
      </c>
      <c r="F377">
        <v>0.1</v>
      </c>
      <c r="G377" t="s">
        <v>19</v>
      </c>
      <c r="H377" t="s">
        <v>21</v>
      </c>
      <c r="I377" t="s">
        <v>16</v>
      </c>
      <c r="J377" s="2">
        <f>Table1_1[[#This Row],[Sales]]-Table1_1[[#This Row],[Sales]]*Table1_1[[#This Row],[Discount]]</f>
        <v>3145.5810000000001</v>
      </c>
      <c r="K377" s="1">
        <v>45341</v>
      </c>
      <c r="L377" s="11">
        <v>45343</v>
      </c>
      <c r="M377">
        <f>DATEDIF(Table1_1[[#This Row],[Order Date]],Table1_1[[#This Row],[Ship Date]],"D")</f>
        <v>2</v>
      </c>
    </row>
    <row r="378" spans="1:13" x14ac:dyDescent="0.35">
      <c r="A378" t="s">
        <v>707</v>
      </c>
      <c r="B378" t="s">
        <v>193</v>
      </c>
      <c r="C378" t="s">
        <v>223</v>
      </c>
      <c r="D378" s="2">
        <v>1767.52</v>
      </c>
      <c r="E378">
        <v>7</v>
      </c>
      <c r="F378">
        <v>0.1</v>
      </c>
      <c r="G378" t="s">
        <v>39</v>
      </c>
      <c r="H378" t="s">
        <v>15</v>
      </c>
      <c r="I378" t="s">
        <v>43</v>
      </c>
      <c r="J378" s="2">
        <f>Table1_1[[#This Row],[Sales]]-Table1_1[[#This Row],[Sales]]*Table1_1[[#This Row],[Discount]]</f>
        <v>1590.768</v>
      </c>
      <c r="K378" s="1">
        <v>45724</v>
      </c>
      <c r="L378" s="11">
        <v>45728</v>
      </c>
      <c r="M378">
        <f>DATEDIF(Table1_1[[#This Row],[Order Date]],Table1_1[[#This Row],[Ship Date]],"D")</f>
        <v>4</v>
      </c>
    </row>
    <row r="379" spans="1:13" x14ac:dyDescent="0.35">
      <c r="A379" t="s">
        <v>708</v>
      </c>
      <c r="B379" t="s">
        <v>709</v>
      </c>
      <c r="C379" t="s">
        <v>293</v>
      </c>
      <c r="D379" s="2">
        <v>3584.58</v>
      </c>
      <c r="E379">
        <v>7</v>
      </c>
      <c r="F379">
        <v>0.1</v>
      </c>
      <c r="G379" t="s">
        <v>39</v>
      </c>
      <c r="H379" t="s">
        <v>15</v>
      </c>
      <c r="I379" t="s">
        <v>16</v>
      </c>
      <c r="J379" s="2">
        <f>Table1_1[[#This Row],[Sales]]-Table1_1[[#This Row],[Sales]]*Table1_1[[#This Row],[Discount]]</f>
        <v>3226.1219999999998</v>
      </c>
      <c r="K379" s="1">
        <v>45640</v>
      </c>
      <c r="L379" s="11">
        <v>45647</v>
      </c>
      <c r="M379">
        <f>DATEDIF(Table1_1[[#This Row],[Order Date]],Table1_1[[#This Row],[Ship Date]],"D")</f>
        <v>7</v>
      </c>
    </row>
    <row r="380" spans="1:13" x14ac:dyDescent="0.35">
      <c r="A380" t="s">
        <v>710</v>
      </c>
      <c r="B380" t="s">
        <v>134</v>
      </c>
      <c r="C380" t="s">
        <v>487</v>
      </c>
      <c r="D380" s="2">
        <v>561.4</v>
      </c>
      <c r="E380">
        <v>9</v>
      </c>
      <c r="F380">
        <v>0</v>
      </c>
      <c r="G380" t="s">
        <v>14</v>
      </c>
      <c r="H380" t="s">
        <v>15</v>
      </c>
      <c r="I380" t="s">
        <v>16</v>
      </c>
      <c r="J380" s="2">
        <f>Table1_1[[#This Row],[Sales]]-Table1_1[[#This Row],[Sales]]*Table1_1[[#This Row],[Discount]]</f>
        <v>561.4</v>
      </c>
      <c r="K380" s="1">
        <v>45187</v>
      </c>
      <c r="L380" s="11">
        <v>45192</v>
      </c>
      <c r="M380">
        <f>DATEDIF(Table1_1[[#This Row],[Order Date]],Table1_1[[#This Row],[Ship Date]],"D")</f>
        <v>5</v>
      </c>
    </row>
    <row r="381" spans="1:13" x14ac:dyDescent="0.35">
      <c r="A381" t="s">
        <v>711</v>
      </c>
      <c r="B381" t="s">
        <v>115</v>
      </c>
      <c r="C381" t="s">
        <v>77</v>
      </c>
      <c r="D381" s="2">
        <v>2211.4299999999998</v>
      </c>
      <c r="E381">
        <v>10</v>
      </c>
      <c r="F381">
        <v>0</v>
      </c>
      <c r="G381" t="s">
        <v>14</v>
      </c>
      <c r="H381" t="s">
        <v>21</v>
      </c>
      <c r="I381" t="s">
        <v>20</v>
      </c>
      <c r="J381" s="2">
        <f>Table1_1[[#This Row],[Sales]]-Table1_1[[#This Row],[Sales]]*Table1_1[[#This Row],[Discount]]</f>
        <v>2211.4299999999998</v>
      </c>
      <c r="K381" s="1">
        <v>45486</v>
      </c>
      <c r="L381" s="11">
        <v>45493</v>
      </c>
      <c r="M381">
        <f>DATEDIF(Table1_1[[#This Row],[Order Date]],Table1_1[[#This Row],[Ship Date]],"D")</f>
        <v>7</v>
      </c>
    </row>
    <row r="382" spans="1:13" x14ac:dyDescent="0.35">
      <c r="A382" t="s">
        <v>712</v>
      </c>
      <c r="B382" t="s">
        <v>270</v>
      </c>
      <c r="C382" t="s">
        <v>180</v>
      </c>
      <c r="D382" s="2">
        <v>246.28</v>
      </c>
      <c r="E382">
        <v>4</v>
      </c>
      <c r="F382">
        <v>0.1</v>
      </c>
      <c r="G382" t="s">
        <v>14</v>
      </c>
      <c r="H382" t="s">
        <v>15</v>
      </c>
      <c r="I382" t="s">
        <v>16</v>
      </c>
      <c r="J382" s="2">
        <f>Table1_1[[#This Row],[Sales]]-Table1_1[[#This Row],[Sales]]*Table1_1[[#This Row],[Discount]]</f>
        <v>221.65199999999999</v>
      </c>
      <c r="K382" s="1">
        <v>44964</v>
      </c>
      <c r="L382" s="11">
        <v>44966</v>
      </c>
      <c r="M382">
        <f>DATEDIF(Table1_1[[#This Row],[Order Date]],Table1_1[[#This Row],[Ship Date]],"D")</f>
        <v>2</v>
      </c>
    </row>
    <row r="383" spans="1:13" x14ac:dyDescent="0.35">
      <c r="A383" t="s">
        <v>713</v>
      </c>
      <c r="B383" t="s">
        <v>275</v>
      </c>
      <c r="C383" t="s">
        <v>34</v>
      </c>
      <c r="D383" s="2">
        <v>2731.72</v>
      </c>
      <c r="E383">
        <v>5</v>
      </c>
      <c r="F383">
        <v>0.2</v>
      </c>
      <c r="G383" t="s">
        <v>14</v>
      </c>
      <c r="H383" t="s">
        <v>15</v>
      </c>
      <c r="I383" t="s">
        <v>16</v>
      </c>
      <c r="J383" s="2">
        <f>Table1_1[[#This Row],[Sales]]-Table1_1[[#This Row],[Sales]]*Table1_1[[#This Row],[Discount]]</f>
        <v>2185.3759999999997</v>
      </c>
      <c r="K383" s="1">
        <v>45741</v>
      </c>
      <c r="L383" s="11">
        <v>45744</v>
      </c>
      <c r="M383">
        <f>DATEDIF(Table1_1[[#This Row],[Order Date]],Table1_1[[#This Row],[Ship Date]],"D")</f>
        <v>3</v>
      </c>
    </row>
    <row r="384" spans="1:13" x14ac:dyDescent="0.35">
      <c r="A384" t="s">
        <v>714</v>
      </c>
      <c r="B384" t="s">
        <v>124</v>
      </c>
      <c r="C384" t="s">
        <v>175</v>
      </c>
      <c r="D384" s="2">
        <v>570.71</v>
      </c>
      <c r="E384">
        <v>7</v>
      </c>
      <c r="F384">
        <v>0.3</v>
      </c>
      <c r="G384" t="s">
        <v>14</v>
      </c>
      <c r="H384" t="s">
        <v>15</v>
      </c>
      <c r="I384" t="s">
        <v>43</v>
      </c>
      <c r="J384" s="2">
        <f>Table1_1[[#This Row],[Sales]]-Table1_1[[#This Row],[Sales]]*Table1_1[[#This Row],[Discount]]</f>
        <v>399.49700000000007</v>
      </c>
      <c r="K384" s="1">
        <v>45753</v>
      </c>
      <c r="L384" s="11">
        <v>45757</v>
      </c>
      <c r="M384">
        <f>DATEDIF(Table1_1[[#This Row],[Order Date]],Table1_1[[#This Row],[Ship Date]],"D")</f>
        <v>4</v>
      </c>
    </row>
    <row r="385" spans="1:13" x14ac:dyDescent="0.35">
      <c r="A385" t="s">
        <v>715</v>
      </c>
      <c r="B385" t="s">
        <v>577</v>
      </c>
      <c r="C385" t="s">
        <v>310</v>
      </c>
      <c r="D385" s="2">
        <v>3857</v>
      </c>
      <c r="E385">
        <v>5</v>
      </c>
      <c r="F385">
        <v>0.1</v>
      </c>
      <c r="G385" t="s">
        <v>14</v>
      </c>
      <c r="H385" t="s">
        <v>21</v>
      </c>
      <c r="I385" t="s">
        <v>20</v>
      </c>
      <c r="J385" s="2">
        <f>Table1_1[[#This Row],[Sales]]-Table1_1[[#This Row],[Sales]]*Table1_1[[#This Row],[Discount]]</f>
        <v>3471.3</v>
      </c>
      <c r="K385" s="1">
        <v>45278</v>
      </c>
      <c r="L385" s="11">
        <v>45284</v>
      </c>
      <c r="M385">
        <f>DATEDIF(Table1_1[[#This Row],[Order Date]],Table1_1[[#This Row],[Ship Date]],"D")</f>
        <v>6</v>
      </c>
    </row>
    <row r="386" spans="1:13" x14ac:dyDescent="0.35">
      <c r="A386" t="s">
        <v>716</v>
      </c>
      <c r="B386" t="s">
        <v>639</v>
      </c>
      <c r="C386" t="s">
        <v>281</v>
      </c>
      <c r="D386" s="2">
        <v>3965.23</v>
      </c>
      <c r="E386">
        <v>1</v>
      </c>
      <c r="F386">
        <v>0.3</v>
      </c>
      <c r="G386" t="s">
        <v>39</v>
      </c>
      <c r="H386" t="s">
        <v>21</v>
      </c>
      <c r="I386" t="s">
        <v>43</v>
      </c>
      <c r="J386" s="2">
        <f>Table1_1[[#This Row],[Sales]]-Table1_1[[#This Row],[Sales]]*Table1_1[[#This Row],[Discount]]</f>
        <v>2775.6610000000001</v>
      </c>
      <c r="K386" s="1">
        <v>44948</v>
      </c>
      <c r="L386" s="11">
        <v>44955</v>
      </c>
      <c r="M386">
        <f>DATEDIF(Table1_1[[#This Row],[Order Date]],Table1_1[[#This Row],[Ship Date]],"D")</f>
        <v>7</v>
      </c>
    </row>
    <row r="387" spans="1:13" x14ac:dyDescent="0.35">
      <c r="A387" t="s">
        <v>717</v>
      </c>
      <c r="B387" t="s">
        <v>718</v>
      </c>
      <c r="C387" t="s">
        <v>65</v>
      </c>
      <c r="D387" s="2">
        <v>3016.94</v>
      </c>
      <c r="E387">
        <v>4</v>
      </c>
      <c r="F387">
        <v>0</v>
      </c>
      <c r="G387" t="s">
        <v>14</v>
      </c>
      <c r="H387" t="s">
        <v>21</v>
      </c>
      <c r="I387" t="s">
        <v>43</v>
      </c>
      <c r="J387" s="2">
        <f>Table1_1[[#This Row],[Sales]]-Table1_1[[#This Row],[Sales]]*Table1_1[[#This Row],[Discount]]</f>
        <v>3016.94</v>
      </c>
      <c r="K387" s="1">
        <v>44941</v>
      </c>
      <c r="L387" s="11">
        <v>44946</v>
      </c>
      <c r="M387">
        <f>DATEDIF(Table1_1[[#This Row],[Order Date]],Table1_1[[#This Row],[Ship Date]],"D")</f>
        <v>5</v>
      </c>
    </row>
    <row r="388" spans="1:13" x14ac:dyDescent="0.35">
      <c r="A388" t="s">
        <v>719</v>
      </c>
      <c r="B388" t="s">
        <v>655</v>
      </c>
      <c r="C388" t="s">
        <v>231</v>
      </c>
      <c r="D388" s="2">
        <v>3147.45</v>
      </c>
      <c r="E388">
        <v>7</v>
      </c>
      <c r="F388">
        <v>0.2</v>
      </c>
      <c r="G388" t="s">
        <v>14</v>
      </c>
      <c r="H388" t="s">
        <v>21</v>
      </c>
      <c r="I388" t="s">
        <v>20</v>
      </c>
      <c r="J388" s="2">
        <f>Table1_1[[#This Row],[Sales]]-Table1_1[[#This Row],[Sales]]*Table1_1[[#This Row],[Discount]]</f>
        <v>2517.96</v>
      </c>
      <c r="K388" s="1">
        <v>45273</v>
      </c>
      <c r="L388" s="11">
        <v>45277</v>
      </c>
      <c r="M388">
        <f>DATEDIF(Table1_1[[#This Row],[Order Date]],Table1_1[[#This Row],[Ship Date]],"D")</f>
        <v>4</v>
      </c>
    </row>
    <row r="389" spans="1:13" x14ac:dyDescent="0.35">
      <c r="A389" t="s">
        <v>720</v>
      </c>
      <c r="B389" t="s">
        <v>721</v>
      </c>
      <c r="C389" t="s">
        <v>65</v>
      </c>
      <c r="D389" s="2">
        <v>4402.29</v>
      </c>
      <c r="E389">
        <v>2</v>
      </c>
      <c r="F389">
        <v>0</v>
      </c>
      <c r="G389" t="s">
        <v>19</v>
      </c>
      <c r="H389" t="s">
        <v>21</v>
      </c>
      <c r="I389" t="s">
        <v>43</v>
      </c>
      <c r="J389" s="2">
        <f>Table1_1[[#This Row],[Sales]]-Table1_1[[#This Row],[Sales]]*Table1_1[[#This Row],[Discount]]</f>
        <v>4402.29</v>
      </c>
      <c r="K389" s="1">
        <v>45297</v>
      </c>
      <c r="L389" s="11">
        <v>45298</v>
      </c>
      <c r="M389">
        <f>DATEDIF(Table1_1[[#This Row],[Order Date]],Table1_1[[#This Row],[Ship Date]],"D")</f>
        <v>1</v>
      </c>
    </row>
    <row r="390" spans="1:13" x14ac:dyDescent="0.35">
      <c r="A390" t="s">
        <v>722</v>
      </c>
      <c r="B390" t="s">
        <v>396</v>
      </c>
      <c r="C390" t="s">
        <v>152</v>
      </c>
      <c r="D390" s="2">
        <v>3606.32</v>
      </c>
      <c r="E390">
        <v>1</v>
      </c>
      <c r="F390">
        <v>0.2</v>
      </c>
      <c r="G390" t="s">
        <v>14</v>
      </c>
      <c r="H390" t="s">
        <v>15</v>
      </c>
      <c r="I390" t="s">
        <v>43</v>
      </c>
      <c r="J390" s="2">
        <f>Table1_1[[#This Row],[Sales]]-Table1_1[[#This Row],[Sales]]*Table1_1[[#This Row],[Discount]]</f>
        <v>2885.056</v>
      </c>
      <c r="K390" s="1">
        <v>45801</v>
      </c>
      <c r="L390" s="11">
        <v>45804</v>
      </c>
      <c r="M390">
        <f>DATEDIF(Table1_1[[#This Row],[Order Date]],Table1_1[[#This Row],[Ship Date]],"D")</f>
        <v>3</v>
      </c>
    </row>
    <row r="391" spans="1:13" x14ac:dyDescent="0.35">
      <c r="A391" t="s">
        <v>723</v>
      </c>
      <c r="B391" t="s">
        <v>371</v>
      </c>
      <c r="C391" t="s">
        <v>696</v>
      </c>
      <c r="D391" s="2">
        <v>1931.25</v>
      </c>
      <c r="E391">
        <v>4</v>
      </c>
      <c r="F391">
        <v>0.1</v>
      </c>
      <c r="G391" t="s">
        <v>14</v>
      </c>
      <c r="H391" t="s">
        <v>15</v>
      </c>
      <c r="I391" t="s">
        <v>43</v>
      </c>
      <c r="J391" s="2">
        <f>Table1_1[[#This Row],[Sales]]-Table1_1[[#This Row],[Sales]]*Table1_1[[#This Row],[Discount]]</f>
        <v>1738.125</v>
      </c>
      <c r="K391" s="1">
        <v>45435</v>
      </c>
      <c r="L391" s="11">
        <v>45441</v>
      </c>
      <c r="M391">
        <f>DATEDIF(Table1_1[[#This Row],[Order Date]],Table1_1[[#This Row],[Ship Date]],"D")</f>
        <v>6</v>
      </c>
    </row>
    <row r="392" spans="1:13" x14ac:dyDescent="0.35">
      <c r="A392" t="s">
        <v>724</v>
      </c>
      <c r="B392" t="s">
        <v>306</v>
      </c>
      <c r="C392" t="s">
        <v>91</v>
      </c>
      <c r="D392" s="2">
        <v>3457.52</v>
      </c>
      <c r="E392">
        <v>5</v>
      </c>
      <c r="F392">
        <v>0</v>
      </c>
      <c r="G392" t="s">
        <v>14</v>
      </c>
      <c r="H392" t="s">
        <v>21</v>
      </c>
      <c r="I392" t="s">
        <v>20</v>
      </c>
      <c r="J392" s="2">
        <f>Table1_1[[#This Row],[Sales]]-Table1_1[[#This Row],[Sales]]*Table1_1[[#This Row],[Discount]]</f>
        <v>3457.52</v>
      </c>
      <c r="K392" s="1">
        <v>45646</v>
      </c>
      <c r="L392" s="11">
        <v>45650</v>
      </c>
      <c r="M392">
        <f>DATEDIF(Table1_1[[#This Row],[Order Date]],Table1_1[[#This Row],[Ship Date]],"D")</f>
        <v>4</v>
      </c>
    </row>
    <row r="393" spans="1:13" x14ac:dyDescent="0.35">
      <c r="A393" t="s">
        <v>725</v>
      </c>
      <c r="B393" t="s">
        <v>288</v>
      </c>
      <c r="C393" t="s">
        <v>726</v>
      </c>
      <c r="D393" s="2">
        <v>2556.8200000000002</v>
      </c>
      <c r="E393">
        <v>4</v>
      </c>
      <c r="F393">
        <v>0.1</v>
      </c>
      <c r="G393" t="s">
        <v>14</v>
      </c>
      <c r="H393" t="s">
        <v>21</v>
      </c>
      <c r="I393" t="s">
        <v>16</v>
      </c>
      <c r="J393" s="2">
        <f>Table1_1[[#This Row],[Sales]]-Table1_1[[#This Row],[Sales]]*Table1_1[[#This Row],[Discount]]</f>
        <v>2301.1379999999999</v>
      </c>
      <c r="K393" s="1">
        <v>45032</v>
      </c>
      <c r="L393" s="11">
        <v>45037</v>
      </c>
      <c r="M393">
        <f>DATEDIF(Table1_1[[#This Row],[Order Date]],Table1_1[[#This Row],[Ship Date]],"D")</f>
        <v>5</v>
      </c>
    </row>
    <row r="394" spans="1:13" x14ac:dyDescent="0.35">
      <c r="A394" t="s">
        <v>727</v>
      </c>
      <c r="B394" t="s">
        <v>510</v>
      </c>
      <c r="C394" t="s">
        <v>231</v>
      </c>
      <c r="D394" s="2">
        <v>2922.03</v>
      </c>
      <c r="E394">
        <v>2</v>
      </c>
      <c r="F394">
        <v>0</v>
      </c>
      <c r="G394" t="s">
        <v>14</v>
      </c>
      <c r="H394" t="s">
        <v>15</v>
      </c>
      <c r="I394" t="s">
        <v>43</v>
      </c>
      <c r="J394" s="2">
        <f>Table1_1[[#This Row],[Sales]]-Table1_1[[#This Row],[Sales]]*Table1_1[[#This Row],[Discount]]</f>
        <v>2922.03</v>
      </c>
      <c r="K394" s="1">
        <v>45119</v>
      </c>
      <c r="L394" s="11">
        <v>45123</v>
      </c>
      <c r="M394">
        <f>DATEDIF(Table1_1[[#This Row],[Order Date]],Table1_1[[#This Row],[Ship Date]],"D")</f>
        <v>4</v>
      </c>
    </row>
    <row r="395" spans="1:13" x14ac:dyDescent="0.35">
      <c r="A395" t="s">
        <v>728</v>
      </c>
      <c r="B395" t="s">
        <v>56</v>
      </c>
      <c r="C395" t="s">
        <v>281</v>
      </c>
      <c r="D395" s="2">
        <v>194.56</v>
      </c>
      <c r="E395">
        <v>2</v>
      </c>
      <c r="F395">
        <v>0.3</v>
      </c>
      <c r="G395" t="s">
        <v>14</v>
      </c>
      <c r="H395" t="s">
        <v>15</v>
      </c>
      <c r="I395" t="s">
        <v>20</v>
      </c>
      <c r="J395" s="2">
        <f>Table1_1[[#This Row],[Sales]]-Table1_1[[#This Row],[Sales]]*Table1_1[[#This Row],[Discount]]</f>
        <v>136.19200000000001</v>
      </c>
      <c r="K395" s="1">
        <v>44992</v>
      </c>
      <c r="L395" s="11">
        <v>44996</v>
      </c>
      <c r="M395">
        <f>DATEDIF(Table1_1[[#This Row],[Order Date]],Table1_1[[#This Row],[Ship Date]],"D")</f>
        <v>4</v>
      </c>
    </row>
    <row r="396" spans="1:13" x14ac:dyDescent="0.35">
      <c r="A396" t="s">
        <v>729</v>
      </c>
      <c r="B396" t="s">
        <v>258</v>
      </c>
      <c r="C396" t="s">
        <v>259</v>
      </c>
      <c r="D396" s="2">
        <v>2270.9499999999998</v>
      </c>
      <c r="E396">
        <v>4</v>
      </c>
      <c r="F396">
        <v>0.1</v>
      </c>
      <c r="G396" t="s">
        <v>14</v>
      </c>
      <c r="H396" t="s">
        <v>21</v>
      </c>
      <c r="I396" t="s">
        <v>20</v>
      </c>
      <c r="J396" s="2">
        <f>Table1_1[[#This Row],[Sales]]-Table1_1[[#This Row],[Sales]]*Table1_1[[#This Row],[Discount]]</f>
        <v>2043.8549999999998</v>
      </c>
      <c r="K396" s="1">
        <v>45047</v>
      </c>
      <c r="L396" s="11">
        <v>45052</v>
      </c>
      <c r="M396">
        <f>DATEDIF(Table1_1[[#This Row],[Order Date]],Table1_1[[#This Row],[Ship Date]],"D")</f>
        <v>5</v>
      </c>
    </row>
    <row r="397" spans="1:13" x14ac:dyDescent="0.35">
      <c r="A397" t="s">
        <v>730</v>
      </c>
      <c r="B397" t="s">
        <v>328</v>
      </c>
      <c r="C397" t="s">
        <v>160</v>
      </c>
      <c r="D397" s="2">
        <v>759.03</v>
      </c>
      <c r="E397">
        <v>4</v>
      </c>
      <c r="F397">
        <v>0.3</v>
      </c>
      <c r="G397" t="s">
        <v>39</v>
      </c>
      <c r="H397" t="s">
        <v>15</v>
      </c>
      <c r="I397" t="s">
        <v>20</v>
      </c>
      <c r="J397" s="2">
        <f>Table1_1[[#This Row],[Sales]]-Table1_1[[#This Row],[Sales]]*Table1_1[[#This Row],[Discount]]</f>
        <v>531.32100000000003</v>
      </c>
      <c r="K397" s="1">
        <v>45331</v>
      </c>
      <c r="L397" s="11">
        <v>45334</v>
      </c>
      <c r="M397">
        <f>DATEDIF(Table1_1[[#This Row],[Order Date]],Table1_1[[#This Row],[Ship Date]],"D")</f>
        <v>3</v>
      </c>
    </row>
    <row r="398" spans="1:13" x14ac:dyDescent="0.35">
      <c r="A398" t="s">
        <v>731</v>
      </c>
      <c r="B398" t="s">
        <v>661</v>
      </c>
      <c r="C398" t="s">
        <v>359</v>
      </c>
      <c r="D398" s="2">
        <v>593.64</v>
      </c>
      <c r="E398">
        <v>7</v>
      </c>
      <c r="F398">
        <v>0.2</v>
      </c>
      <c r="G398" t="s">
        <v>14</v>
      </c>
      <c r="H398" t="s">
        <v>15</v>
      </c>
      <c r="I398" t="s">
        <v>20</v>
      </c>
      <c r="J398" s="2">
        <f>Table1_1[[#This Row],[Sales]]-Table1_1[[#This Row],[Sales]]*Table1_1[[#This Row],[Discount]]</f>
        <v>474.91199999999998</v>
      </c>
      <c r="K398" s="1">
        <v>44955</v>
      </c>
      <c r="L398" s="11">
        <v>44962</v>
      </c>
      <c r="M398">
        <f>DATEDIF(Table1_1[[#This Row],[Order Date]],Table1_1[[#This Row],[Ship Date]],"D")</f>
        <v>7</v>
      </c>
    </row>
    <row r="399" spans="1:13" x14ac:dyDescent="0.35">
      <c r="A399" t="s">
        <v>732</v>
      </c>
      <c r="B399" t="s">
        <v>295</v>
      </c>
      <c r="C399" t="s">
        <v>231</v>
      </c>
      <c r="D399" s="2">
        <v>2226.33</v>
      </c>
      <c r="E399">
        <v>3</v>
      </c>
      <c r="F399">
        <v>0.3</v>
      </c>
      <c r="G399" t="s">
        <v>14</v>
      </c>
      <c r="H399" t="s">
        <v>15</v>
      </c>
      <c r="I399" t="s">
        <v>20</v>
      </c>
      <c r="J399" s="2">
        <f>Table1_1[[#This Row],[Sales]]-Table1_1[[#This Row],[Sales]]*Table1_1[[#This Row],[Discount]]</f>
        <v>1558.431</v>
      </c>
      <c r="K399" s="1">
        <v>45416</v>
      </c>
      <c r="L399" s="11">
        <v>45420</v>
      </c>
      <c r="M399">
        <f>DATEDIF(Table1_1[[#This Row],[Order Date]],Table1_1[[#This Row],[Ship Date]],"D")</f>
        <v>4</v>
      </c>
    </row>
    <row r="400" spans="1:13" x14ac:dyDescent="0.35">
      <c r="A400" t="s">
        <v>733</v>
      </c>
      <c r="B400" t="s">
        <v>84</v>
      </c>
      <c r="C400" t="s">
        <v>128</v>
      </c>
      <c r="D400" s="2">
        <v>3901.82</v>
      </c>
      <c r="E400">
        <v>7</v>
      </c>
      <c r="F400">
        <v>0.3</v>
      </c>
      <c r="G400" t="s">
        <v>14</v>
      </c>
      <c r="H400" t="s">
        <v>15</v>
      </c>
      <c r="I400" t="s">
        <v>20</v>
      </c>
      <c r="J400" s="2">
        <f>Table1_1[[#This Row],[Sales]]-Table1_1[[#This Row],[Sales]]*Table1_1[[#This Row],[Discount]]</f>
        <v>2731.2740000000003</v>
      </c>
      <c r="K400" s="1">
        <v>45191</v>
      </c>
      <c r="L400" s="11">
        <v>45196</v>
      </c>
      <c r="M400">
        <f>DATEDIF(Table1_1[[#This Row],[Order Date]],Table1_1[[#This Row],[Ship Date]],"D")</f>
        <v>5</v>
      </c>
    </row>
    <row r="401" spans="1:13" x14ac:dyDescent="0.35">
      <c r="A401" t="s">
        <v>734</v>
      </c>
      <c r="B401" t="s">
        <v>445</v>
      </c>
      <c r="C401" t="s">
        <v>285</v>
      </c>
      <c r="D401" s="2">
        <v>4438.32</v>
      </c>
      <c r="E401">
        <v>1</v>
      </c>
      <c r="F401">
        <v>0.1</v>
      </c>
      <c r="G401" t="s">
        <v>39</v>
      </c>
      <c r="H401" t="s">
        <v>15</v>
      </c>
      <c r="I401" t="s">
        <v>16</v>
      </c>
      <c r="J401" s="2">
        <f>Table1_1[[#This Row],[Sales]]-Table1_1[[#This Row],[Sales]]*Table1_1[[#This Row],[Discount]]</f>
        <v>3994.4879999999998</v>
      </c>
      <c r="K401" s="1">
        <v>45492</v>
      </c>
      <c r="L401" s="11">
        <v>45499</v>
      </c>
      <c r="M401">
        <f>DATEDIF(Table1_1[[#This Row],[Order Date]],Table1_1[[#This Row],[Ship Date]],"D")</f>
        <v>7</v>
      </c>
    </row>
    <row r="402" spans="1:13" x14ac:dyDescent="0.35">
      <c r="A402" t="s">
        <v>735</v>
      </c>
      <c r="B402" t="s">
        <v>284</v>
      </c>
      <c r="C402" t="s">
        <v>511</v>
      </c>
      <c r="D402" s="2">
        <v>1306.17</v>
      </c>
      <c r="E402">
        <v>7</v>
      </c>
      <c r="F402">
        <v>0</v>
      </c>
      <c r="G402" t="s">
        <v>39</v>
      </c>
      <c r="H402" t="s">
        <v>21</v>
      </c>
      <c r="I402" t="s">
        <v>16</v>
      </c>
      <c r="J402" s="2">
        <f>Table1_1[[#This Row],[Sales]]-Table1_1[[#This Row],[Sales]]*Table1_1[[#This Row],[Discount]]</f>
        <v>1306.17</v>
      </c>
      <c r="K402" s="1">
        <v>45152</v>
      </c>
      <c r="L402" s="11">
        <v>45154</v>
      </c>
      <c r="M402">
        <f>DATEDIF(Table1_1[[#This Row],[Order Date]],Table1_1[[#This Row],[Ship Date]],"D")</f>
        <v>2</v>
      </c>
    </row>
    <row r="403" spans="1:13" x14ac:dyDescent="0.35">
      <c r="A403" t="s">
        <v>736</v>
      </c>
      <c r="B403" t="s">
        <v>520</v>
      </c>
      <c r="C403" t="s">
        <v>105</v>
      </c>
      <c r="D403" s="2">
        <v>3206.04</v>
      </c>
      <c r="E403">
        <v>8</v>
      </c>
      <c r="F403">
        <v>0.2</v>
      </c>
      <c r="G403" t="s">
        <v>14</v>
      </c>
      <c r="H403" t="s">
        <v>15</v>
      </c>
      <c r="I403" t="s">
        <v>16</v>
      </c>
      <c r="J403" s="2">
        <f>Table1_1[[#This Row],[Sales]]-Table1_1[[#This Row],[Sales]]*Table1_1[[#This Row],[Discount]]</f>
        <v>2564.8319999999999</v>
      </c>
      <c r="K403" s="1">
        <v>45627</v>
      </c>
      <c r="L403" s="11">
        <v>45634</v>
      </c>
      <c r="M403">
        <f>DATEDIF(Table1_1[[#This Row],[Order Date]],Table1_1[[#This Row],[Ship Date]],"D")</f>
        <v>7</v>
      </c>
    </row>
    <row r="404" spans="1:13" x14ac:dyDescent="0.35">
      <c r="A404" t="s">
        <v>737</v>
      </c>
      <c r="B404" t="s">
        <v>738</v>
      </c>
      <c r="C404" t="s">
        <v>223</v>
      </c>
      <c r="D404" s="2">
        <v>4844.95</v>
      </c>
      <c r="E404">
        <v>7</v>
      </c>
      <c r="F404">
        <v>0.2</v>
      </c>
      <c r="G404" t="s">
        <v>14</v>
      </c>
      <c r="H404" t="s">
        <v>15</v>
      </c>
      <c r="I404" t="s">
        <v>20</v>
      </c>
      <c r="J404" s="2">
        <f>Table1_1[[#This Row],[Sales]]-Table1_1[[#This Row],[Sales]]*Table1_1[[#This Row],[Discount]]</f>
        <v>3875.96</v>
      </c>
      <c r="K404" s="1">
        <v>45374</v>
      </c>
      <c r="L404" s="11">
        <v>45377</v>
      </c>
      <c r="M404">
        <f>DATEDIF(Table1_1[[#This Row],[Order Date]],Table1_1[[#This Row],[Ship Date]],"D")</f>
        <v>3</v>
      </c>
    </row>
    <row r="405" spans="1:13" x14ac:dyDescent="0.35">
      <c r="A405" t="s">
        <v>739</v>
      </c>
      <c r="B405" t="s">
        <v>209</v>
      </c>
      <c r="C405" t="s">
        <v>246</v>
      </c>
      <c r="D405" s="2">
        <v>1426.42</v>
      </c>
      <c r="E405">
        <v>3</v>
      </c>
      <c r="F405">
        <v>0.3</v>
      </c>
      <c r="G405" t="s">
        <v>14</v>
      </c>
      <c r="H405" t="s">
        <v>15</v>
      </c>
      <c r="I405" t="s">
        <v>43</v>
      </c>
      <c r="J405" s="2">
        <f>Table1_1[[#This Row],[Sales]]-Table1_1[[#This Row],[Sales]]*Table1_1[[#This Row],[Discount]]</f>
        <v>998.49400000000014</v>
      </c>
      <c r="K405" s="1">
        <v>45746</v>
      </c>
      <c r="L405" s="11">
        <v>45749</v>
      </c>
      <c r="M405">
        <f>DATEDIF(Table1_1[[#This Row],[Order Date]],Table1_1[[#This Row],[Ship Date]],"D")</f>
        <v>3</v>
      </c>
    </row>
    <row r="406" spans="1:13" x14ac:dyDescent="0.35">
      <c r="A406" t="s">
        <v>740</v>
      </c>
      <c r="B406" t="s">
        <v>335</v>
      </c>
      <c r="C406" t="s">
        <v>125</v>
      </c>
      <c r="D406" s="2">
        <v>4097.04</v>
      </c>
      <c r="E406">
        <v>5</v>
      </c>
      <c r="F406">
        <v>0.1</v>
      </c>
      <c r="G406" t="s">
        <v>39</v>
      </c>
      <c r="H406" t="s">
        <v>15</v>
      </c>
      <c r="I406" t="s">
        <v>16</v>
      </c>
      <c r="J406" s="2">
        <f>Table1_1[[#This Row],[Sales]]-Table1_1[[#This Row],[Sales]]*Table1_1[[#This Row],[Discount]]</f>
        <v>3687.3359999999998</v>
      </c>
      <c r="K406" s="1">
        <v>45389</v>
      </c>
      <c r="L406" s="11">
        <v>45391</v>
      </c>
      <c r="M406">
        <f>DATEDIF(Table1_1[[#This Row],[Order Date]],Table1_1[[#This Row],[Ship Date]],"D")</f>
        <v>2</v>
      </c>
    </row>
    <row r="407" spans="1:13" x14ac:dyDescent="0.35">
      <c r="A407" t="s">
        <v>741</v>
      </c>
      <c r="B407" t="s">
        <v>173</v>
      </c>
      <c r="C407" t="s">
        <v>450</v>
      </c>
      <c r="D407" s="2">
        <v>2107.67</v>
      </c>
      <c r="E407">
        <v>3</v>
      </c>
      <c r="F407">
        <v>0</v>
      </c>
      <c r="G407" t="s">
        <v>14</v>
      </c>
      <c r="H407" t="s">
        <v>15</v>
      </c>
      <c r="I407" t="s">
        <v>16</v>
      </c>
      <c r="J407" s="2">
        <f>Table1_1[[#This Row],[Sales]]-Table1_1[[#This Row],[Sales]]*Table1_1[[#This Row],[Discount]]</f>
        <v>2107.67</v>
      </c>
      <c r="K407" s="1">
        <v>44940</v>
      </c>
      <c r="L407" s="11">
        <v>44941</v>
      </c>
      <c r="M407">
        <f>DATEDIF(Table1_1[[#This Row],[Order Date]],Table1_1[[#This Row],[Ship Date]],"D")</f>
        <v>1</v>
      </c>
    </row>
    <row r="408" spans="1:13" x14ac:dyDescent="0.35">
      <c r="A408" t="s">
        <v>742</v>
      </c>
      <c r="B408" t="s">
        <v>134</v>
      </c>
      <c r="C408" t="s">
        <v>388</v>
      </c>
      <c r="D408" s="2">
        <v>1886.54</v>
      </c>
      <c r="E408">
        <v>6</v>
      </c>
      <c r="F408">
        <v>0.3</v>
      </c>
      <c r="G408" t="s">
        <v>14</v>
      </c>
      <c r="H408" t="s">
        <v>15</v>
      </c>
      <c r="I408" t="s">
        <v>43</v>
      </c>
      <c r="J408" s="2">
        <f>Table1_1[[#This Row],[Sales]]-Table1_1[[#This Row],[Sales]]*Table1_1[[#This Row],[Discount]]</f>
        <v>1320.578</v>
      </c>
      <c r="K408" s="1">
        <v>44954</v>
      </c>
      <c r="L408" s="11">
        <v>44955</v>
      </c>
      <c r="M408">
        <f>DATEDIF(Table1_1[[#This Row],[Order Date]],Table1_1[[#This Row],[Ship Date]],"D")</f>
        <v>1</v>
      </c>
    </row>
    <row r="409" spans="1:13" x14ac:dyDescent="0.35">
      <c r="A409" t="s">
        <v>743</v>
      </c>
      <c r="B409" t="s">
        <v>744</v>
      </c>
      <c r="C409" t="s">
        <v>254</v>
      </c>
      <c r="D409" s="2">
        <v>2842.07</v>
      </c>
      <c r="E409">
        <v>8</v>
      </c>
      <c r="F409">
        <v>0.3</v>
      </c>
      <c r="G409" t="s">
        <v>14</v>
      </c>
      <c r="H409" t="s">
        <v>15</v>
      </c>
      <c r="I409" t="s">
        <v>43</v>
      </c>
      <c r="J409" s="2">
        <f>Table1_1[[#This Row],[Sales]]-Table1_1[[#This Row],[Sales]]*Table1_1[[#This Row],[Discount]]</f>
        <v>1989.4490000000001</v>
      </c>
      <c r="K409" s="1">
        <v>45232</v>
      </c>
      <c r="L409" s="11">
        <v>45234</v>
      </c>
      <c r="M409">
        <f>DATEDIF(Table1_1[[#This Row],[Order Date]],Table1_1[[#This Row],[Ship Date]],"D")</f>
        <v>2</v>
      </c>
    </row>
    <row r="410" spans="1:13" x14ac:dyDescent="0.35">
      <c r="A410" t="s">
        <v>745</v>
      </c>
      <c r="B410" t="s">
        <v>590</v>
      </c>
      <c r="C410" t="s">
        <v>185</v>
      </c>
      <c r="D410" s="2">
        <v>4310.43</v>
      </c>
      <c r="E410">
        <v>6</v>
      </c>
      <c r="F410">
        <v>0.2</v>
      </c>
      <c r="G410" t="s">
        <v>14</v>
      </c>
      <c r="H410" t="s">
        <v>21</v>
      </c>
      <c r="I410" t="s">
        <v>43</v>
      </c>
      <c r="J410" s="2">
        <f>Table1_1[[#This Row],[Sales]]-Table1_1[[#This Row],[Sales]]*Table1_1[[#This Row],[Discount]]</f>
        <v>3448.3440000000001</v>
      </c>
      <c r="K410" s="1">
        <v>45282</v>
      </c>
      <c r="L410" s="11">
        <v>45287</v>
      </c>
      <c r="M410">
        <f>DATEDIF(Table1_1[[#This Row],[Order Date]],Table1_1[[#This Row],[Ship Date]],"D")</f>
        <v>5</v>
      </c>
    </row>
    <row r="411" spans="1:13" x14ac:dyDescent="0.35">
      <c r="A411" t="s">
        <v>746</v>
      </c>
      <c r="B411" t="s">
        <v>142</v>
      </c>
      <c r="C411" t="s">
        <v>214</v>
      </c>
      <c r="D411" s="2">
        <v>938.52</v>
      </c>
      <c r="E411">
        <v>3</v>
      </c>
      <c r="F411">
        <v>0.2</v>
      </c>
      <c r="G411" t="s">
        <v>19</v>
      </c>
      <c r="H411" t="s">
        <v>21</v>
      </c>
      <c r="I411" t="s">
        <v>20</v>
      </c>
      <c r="J411" s="2">
        <f>Table1_1[[#This Row],[Sales]]-Table1_1[[#This Row],[Sales]]*Table1_1[[#This Row],[Discount]]</f>
        <v>750.81600000000003</v>
      </c>
      <c r="K411" s="1">
        <v>45423</v>
      </c>
      <c r="L411" s="11">
        <v>45428</v>
      </c>
      <c r="M411">
        <f>DATEDIF(Table1_1[[#This Row],[Order Date]],Table1_1[[#This Row],[Ship Date]],"D")</f>
        <v>5</v>
      </c>
    </row>
    <row r="412" spans="1:13" x14ac:dyDescent="0.35">
      <c r="A412" t="s">
        <v>747</v>
      </c>
      <c r="B412" t="s">
        <v>380</v>
      </c>
      <c r="C412" t="s">
        <v>262</v>
      </c>
      <c r="D412" s="2">
        <v>4120.87</v>
      </c>
      <c r="E412">
        <v>9</v>
      </c>
      <c r="F412">
        <v>0.2</v>
      </c>
      <c r="G412" t="s">
        <v>19</v>
      </c>
      <c r="H412" t="s">
        <v>21</v>
      </c>
      <c r="I412" t="s">
        <v>20</v>
      </c>
      <c r="J412" s="2">
        <f>Table1_1[[#This Row],[Sales]]-Table1_1[[#This Row],[Sales]]*Table1_1[[#This Row],[Discount]]</f>
        <v>3296.6959999999999</v>
      </c>
      <c r="K412" s="1">
        <v>45078</v>
      </c>
      <c r="L412" s="11">
        <v>45082</v>
      </c>
      <c r="M412">
        <f>DATEDIF(Table1_1[[#This Row],[Order Date]],Table1_1[[#This Row],[Ship Date]],"D")</f>
        <v>4</v>
      </c>
    </row>
    <row r="413" spans="1:13" x14ac:dyDescent="0.35">
      <c r="A413" t="s">
        <v>748</v>
      </c>
      <c r="B413" t="s">
        <v>101</v>
      </c>
      <c r="C413" t="s">
        <v>68</v>
      </c>
      <c r="D413" s="2">
        <v>3806.11</v>
      </c>
      <c r="E413">
        <v>9</v>
      </c>
      <c r="F413">
        <v>0.1</v>
      </c>
      <c r="G413" t="s">
        <v>14</v>
      </c>
      <c r="H413" t="s">
        <v>21</v>
      </c>
      <c r="I413" t="s">
        <v>43</v>
      </c>
      <c r="J413" s="2">
        <f>Table1_1[[#This Row],[Sales]]-Table1_1[[#This Row],[Sales]]*Table1_1[[#This Row],[Discount]]</f>
        <v>3425.4990000000003</v>
      </c>
      <c r="K413" s="1">
        <v>44945</v>
      </c>
      <c r="L413" s="11">
        <v>44952</v>
      </c>
      <c r="M413">
        <f>DATEDIF(Table1_1[[#This Row],[Order Date]],Table1_1[[#This Row],[Ship Date]],"D")</f>
        <v>7</v>
      </c>
    </row>
    <row r="414" spans="1:13" x14ac:dyDescent="0.35">
      <c r="A414" t="s">
        <v>749</v>
      </c>
      <c r="B414" t="s">
        <v>466</v>
      </c>
      <c r="C414" t="s">
        <v>99</v>
      </c>
      <c r="D414" s="2">
        <v>1561.55</v>
      </c>
      <c r="E414">
        <v>3</v>
      </c>
      <c r="F414">
        <v>0.3</v>
      </c>
      <c r="G414" t="s">
        <v>14</v>
      </c>
      <c r="H414" t="s">
        <v>15</v>
      </c>
      <c r="I414" t="s">
        <v>20</v>
      </c>
      <c r="J414" s="2">
        <f>Table1_1[[#This Row],[Sales]]-Table1_1[[#This Row],[Sales]]*Table1_1[[#This Row],[Discount]]</f>
        <v>1093.085</v>
      </c>
      <c r="K414" s="1">
        <v>45623</v>
      </c>
      <c r="L414" s="11">
        <v>45627</v>
      </c>
      <c r="M414">
        <f>DATEDIF(Table1_1[[#This Row],[Order Date]],Table1_1[[#This Row],[Ship Date]],"D")</f>
        <v>4</v>
      </c>
    </row>
    <row r="415" spans="1:13" x14ac:dyDescent="0.35">
      <c r="A415" t="s">
        <v>750</v>
      </c>
      <c r="B415" t="s">
        <v>396</v>
      </c>
      <c r="C415" t="s">
        <v>105</v>
      </c>
      <c r="D415" s="2">
        <v>2094.08</v>
      </c>
      <c r="E415">
        <v>2</v>
      </c>
      <c r="F415">
        <v>0.1</v>
      </c>
      <c r="G415" t="s">
        <v>19</v>
      </c>
      <c r="H415" t="s">
        <v>21</v>
      </c>
      <c r="I415" t="s">
        <v>20</v>
      </c>
      <c r="J415" s="2">
        <f>Table1_1[[#This Row],[Sales]]-Table1_1[[#This Row],[Sales]]*Table1_1[[#This Row],[Discount]]</f>
        <v>1884.672</v>
      </c>
      <c r="K415" s="1">
        <v>45369</v>
      </c>
      <c r="L415" s="11">
        <v>45371</v>
      </c>
      <c r="M415">
        <f>DATEDIF(Table1_1[[#This Row],[Order Date]],Table1_1[[#This Row],[Ship Date]],"D")</f>
        <v>2</v>
      </c>
    </row>
    <row r="416" spans="1:13" x14ac:dyDescent="0.35">
      <c r="A416" t="s">
        <v>751</v>
      </c>
      <c r="B416" t="s">
        <v>466</v>
      </c>
      <c r="C416" t="s">
        <v>251</v>
      </c>
      <c r="D416" s="2">
        <v>1577.37</v>
      </c>
      <c r="E416">
        <v>3</v>
      </c>
      <c r="F416">
        <v>0</v>
      </c>
      <c r="G416" t="s">
        <v>19</v>
      </c>
      <c r="H416" t="s">
        <v>21</v>
      </c>
      <c r="I416" t="s">
        <v>43</v>
      </c>
      <c r="J416" s="2">
        <f>Table1_1[[#This Row],[Sales]]-Table1_1[[#This Row],[Sales]]*Table1_1[[#This Row],[Discount]]</f>
        <v>1577.37</v>
      </c>
      <c r="K416" s="1">
        <v>45297</v>
      </c>
      <c r="L416" s="11">
        <v>45303</v>
      </c>
      <c r="M416">
        <f>DATEDIF(Table1_1[[#This Row],[Order Date]],Table1_1[[#This Row],[Ship Date]],"D")</f>
        <v>6</v>
      </c>
    </row>
    <row r="417" spans="1:13" x14ac:dyDescent="0.35">
      <c r="A417" t="s">
        <v>752</v>
      </c>
      <c r="B417" t="s">
        <v>290</v>
      </c>
      <c r="C417" t="s">
        <v>152</v>
      </c>
      <c r="D417" s="2">
        <v>4616.8599999999997</v>
      </c>
      <c r="E417">
        <v>5</v>
      </c>
      <c r="F417">
        <v>0</v>
      </c>
      <c r="G417" t="s">
        <v>14</v>
      </c>
      <c r="H417" t="s">
        <v>21</v>
      </c>
      <c r="I417" t="s">
        <v>20</v>
      </c>
      <c r="J417" s="2">
        <f>Table1_1[[#This Row],[Sales]]-Table1_1[[#This Row],[Sales]]*Table1_1[[#This Row],[Discount]]</f>
        <v>4616.8599999999997</v>
      </c>
      <c r="K417" s="1">
        <v>45613</v>
      </c>
      <c r="L417" s="11">
        <v>45620</v>
      </c>
      <c r="M417">
        <f>DATEDIF(Table1_1[[#This Row],[Order Date]],Table1_1[[#This Row],[Ship Date]],"D")</f>
        <v>7</v>
      </c>
    </row>
    <row r="418" spans="1:13" x14ac:dyDescent="0.35">
      <c r="A418" t="s">
        <v>753</v>
      </c>
      <c r="B418" t="s">
        <v>621</v>
      </c>
      <c r="C418" t="s">
        <v>152</v>
      </c>
      <c r="D418" s="2">
        <v>4151.49</v>
      </c>
      <c r="E418">
        <v>9</v>
      </c>
      <c r="F418">
        <v>0</v>
      </c>
      <c r="G418" t="s">
        <v>14</v>
      </c>
      <c r="H418" t="s">
        <v>21</v>
      </c>
      <c r="I418" t="s">
        <v>20</v>
      </c>
      <c r="J418" s="2">
        <f>Table1_1[[#This Row],[Sales]]-Table1_1[[#This Row],[Sales]]*Table1_1[[#This Row],[Discount]]</f>
        <v>4151.49</v>
      </c>
      <c r="K418" s="1">
        <v>45639</v>
      </c>
      <c r="L418" s="11">
        <v>45641</v>
      </c>
      <c r="M418">
        <f>DATEDIF(Table1_1[[#This Row],[Order Date]],Table1_1[[#This Row],[Ship Date]],"D")</f>
        <v>2</v>
      </c>
    </row>
    <row r="419" spans="1:13" x14ac:dyDescent="0.35">
      <c r="A419" t="s">
        <v>754</v>
      </c>
      <c r="B419" t="s">
        <v>351</v>
      </c>
      <c r="C419" t="s">
        <v>214</v>
      </c>
      <c r="D419" s="2">
        <v>3175.87</v>
      </c>
      <c r="E419">
        <v>8</v>
      </c>
      <c r="F419">
        <v>0.3</v>
      </c>
      <c r="G419" t="s">
        <v>14</v>
      </c>
      <c r="H419" t="s">
        <v>21</v>
      </c>
      <c r="I419" t="s">
        <v>43</v>
      </c>
      <c r="J419" s="2">
        <f>Table1_1[[#This Row],[Sales]]-Table1_1[[#This Row],[Sales]]*Table1_1[[#This Row],[Discount]]</f>
        <v>2223.1089999999999</v>
      </c>
      <c r="K419" s="1">
        <v>45130</v>
      </c>
      <c r="L419" s="11">
        <v>45132</v>
      </c>
      <c r="M419">
        <f>DATEDIF(Table1_1[[#This Row],[Order Date]],Table1_1[[#This Row],[Ship Date]],"D")</f>
        <v>2</v>
      </c>
    </row>
    <row r="420" spans="1:13" x14ac:dyDescent="0.35">
      <c r="A420" t="s">
        <v>755</v>
      </c>
      <c r="B420" t="s">
        <v>583</v>
      </c>
      <c r="C420" t="s">
        <v>756</v>
      </c>
      <c r="D420" s="2">
        <v>1653.79</v>
      </c>
      <c r="E420">
        <v>7</v>
      </c>
      <c r="F420">
        <v>0.2</v>
      </c>
      <c r="G420" t="s">
        <v>19</v>
      </c>
      <c r="H420" t="s">
        <v>15</v>
      </c>
      <c r="I420" t="s">
        <v>43</v>
      </c>
      <c r="J420" s="2">
        <f>Table1_1[[#This Row],[Sales]]-Table1_1[[#This Row],[Sales]]*Table1_1[[#This Row],[Discount]]</f>
        <v>1323.0319999999999</v>
      </c>
      <c r="K420" s="1">
        <v>45604</v>
      </c>
      <c r="L420" s="11">
        <v>45610</v>
      </c>
      <c r="M420">
        <f>DATEDIF(Table1_1[[#This Row],[Order Date]],Table1_1[[#This Row],[Ship Date]],"D")</f>
        <v>6</v>
      </c>
    </row>
    <row r="421" spans="1:13" x14ac:dyDescent="0.35">
      <c r="A421" t="s">
        <v>757</v>
      </c>
      <c r="B421" t="s">
        <v>199</v>
      </c>
      <c r="C421" t="s">
        <v>105</v>
      </c>
      <c r="D421" s="2">
        <v>2006.68</v>
      </c>
      <c r="E421">
        <v>7</v>
      </c>
      <c r="F421">
        <v>0</v>
      </c>
      <c r="G421" t="s">
        <v>19</v>
      </c>
      <c r="H421" t="s">
        <v>21</v>
      </c>
      <c r="I421" t="s">
        <v>43</v>
      </c>
      <c r="J421" s="2">
        <f>Table1_1[[#This Row],[Sales]]-Table1_1[[#This Row],[Sales]]*Table1_1[[#This Row],[Discount]]</f>
        <v>2006.68</v>
      </c>
      <c r="K421" s="1">
        <v>45158</v>
      </c>
      <c r="L421" s="11">
        <v>45163</v>
      </c>
      <c r="M421">
        <f>DATEDIF(Table1_1[[#This Row],[Order Date]],Table1_1[[#This Row],[Ship Date]],"D")</f>
        <v>5</v>
      </c>
    </row>
    <row r="422" spans="1:13" x14ac:dyDescent="0.35">
      <c r="A422" t="s">
        <v>758</v>
      </c>
      <c r="B422" t="s">
        <v>256</v>
      </c>
      <c r="C422" t="s">
        <v>595</v>
      </c>
      <c r="D422" s="2">
        <v>757.36</v>
      </c>
      <c r="E422">
        <v>4</v>
      </c>
      <c r="F422">
        <v>0.3</v>
      </c>
      <c r="G422" t="s">
        <v>19</v>
      </c>
      <c r="H422" t="s">
        <v>21</v>
      </c>
      <c r="I422" t="s">
        <v>20</v>
      </c>
      <c r="J422" s="2">
        <f>Table1_1[[#This Row],[Sales]]-Table1_1[[#This Row],[Sales]]*Table1_1[[#This Row],[Discount]]</f>
        <v>530.15200000000004</v>
      </c>
      <c r="K422" s="1">
        <v>45287</v>
      </c>
      <c r="L422" s="11">
        <v>45290</v>
      </c>
      <c r="M422">
        <f>DATEDIF(Table1_1[[#This Row],[Order Date]],Table1_1[[#This Row],[Ship Date]],"D")</f>
        <v>3</v>
      </c>
    </row>
    <row r="423" spans="1:13" x14ac:dyDescent="0.35">
      <c r="A423" t="s">
        <v>759</v>
      </c>
      <c r="B423" t="s">
        <v>349</v>
      </c>
      <c r="C423" t="s">
        <v>448</v>
      </c>
      <c r="D423" s="2">
        <v>861.02</v>
      </c>
      <c r="E423">
        <v>1</v>
      </c>
      <c r="F423">
        <v>0.2</v>
      </c>
      <c r="G423" t="s">
        <v>19</v>
      </c>
      <c r="H423" t="s">
        <v>15</v>
      </c>
      <c r="I423" t="s">
        <v>43</v>
      </c>
      <c r="J423" s="2">
        <f>Table1_1[[#This Row],[Sales]]-Table1_1[[#This Row],[Sales]]*Table1_1[[#This Row],[Discount]]</f>
        <v>688.81600000000003</v>
      </c>
      <c r="K423" s="1">
        <v>45744</v>
      </c>
      <c r="L423" s="11">
        <v>45746</v>
      </c>
      <c r="M423">
        <f>DATEDIF(Table1_1[[#This Row],[Order Date]],Table1_1[[#This Row],[Ship Date]],"D")</f>
        <v>2</v>
      </c>
    </row>
    <row r="424" spans="1:13" x14ac:dyDescent="0.35">
      <c r="A424" t="s">
        <v>760</v>
      </c>
      <c r="B424" t="s">
        <v>371</v>
      </c>
      <c r="C424" t="s">
        <v>376</v>
      </c>
      <c r="D424" s="2">
        <v>3606.15</v>
      </c>
      <c r="E424">
        <v>2</v>
      </c>
      <c r="F424">
        <v>0</v>
      </c>
      <c r="G424" t="s">
        <v>14</v>
      </c>
      <c r="H424" t="s">
        <v>21</v>
      </c>
      <c r="I424" t="s">
        <v>20</v>
      </c>
      <c r="J424" s="2">
        <f>Table1_1[[#This Row],[Sales]]-Table1_1[[#This Row],[Sales]]*Table1_1[[#This Row],[Discount]]</f>
        <v>3606.15</v>
      </c>
      <c r="K424" s="1">
        <v>45380</v>
      </c>
      <c r="L424" s="11">
        <v>45385</v>
      </c>
      <c r="M424">
        <f>DATEDIF(Table1_1[[#This Row],[Order Date]],Table1_1[[#This Row],[Ship Date]],"D")</f>
        <v>5</v>
      </c>
    </row>
    <row r="425" spans="1:13" x14ac:dyDescent="0.35">
      <c r="A425" t="s">
        <v>761</v>
      </c>
      <c r="B425" t="s">
        <v>122</v>
      </c>
      <c r="C425" t="s">
        <v>77</v>
      </c>
      <c r="D425" s="2">
        <v>4920.46</v>
      </c>
      <c r="E425">
        <v>10</v>
      </c>
      <c r="F425">
        <v>0.3</v>
      </c>
      <c r="G425" t="s">
        <v>14</v>
      </c>
      <c r="H425" t="s">
        <v>21</v>
      </c>
      <c r="I425" t="s">
        <v>16</v>
      </c>
      <c r="J425" s="2">
        <f>Table1_1[[#This Row],[Sales]]-Table1_1[[#This Row],[Sales]]*Table1_1[[#This Row],[Discount]]</f>
        <v>3444.3220000000001</v>
      </c>
      <c r="K425" s="1">
        <v>45706</v>
      </c>
      <c r="L425" s="11">
        <v>45711</v>
      </c>
      <c r="M425">
        <f>DATEDIF(Table1_1[[#This Row],[Order Date]],Table1_1[[#This Row],[Ship Date]],"D")</f>
        <v>5</v>
      </c>
    </row>
    <row r="426" spans="1:13" x14ac:dyDescent="0.35">
      <c r="A426" t="s">
        <v>762</v>
      </c>
      <c r="B426" t="s">
        <v>25</v>
      </c>
      <c r="C426" t="s">
        <v>293</v>
      </c>
      <c r="D426" s="2">
        <v>3246</v>
      </c>
      <c r="E426">
        <v>9</v>
      </c>
      <c r="F426">
        <v>0.1</v>
      </c>
      <c r="G426" t="s">
        <v>14</v>
      </c>
      <c r="H426" t="s">
        <v>15</v>
      </c>
      <c r="I426" t="s">
        <v>20</v>
      </c>
      <c r="J426" s="2">
        <f>Table1_1[[#This Row],[Sales]]-Table1_1[[#This Row],[Sales]]*Table1_1[[#This Row],[Discount]]</f>
        <v>2921.4</v>
      </c>
      <c r="K426" s="1">
        <v>45600</v>
      </c>
      <c r="L426" s="11">
        <v>45605</v>
      </c>
      <c r="M426">
        <f>DATEDIF(Table1_1[[#This Row],[Order Date]],Table1_1[[#This Row],[Ship Date]],"D")</f>
        <v>5</v>
      </c>
    </row>
    <row r="427" spans="1:13" x14ac:dyDescent="0.35">
      <c r="A427" t="s">
        <v>763</v>
      </c>
      <c r="B427" t="s">
        <v>744</v>
      </c>
      <c r="C427" t="s">
        <v>211</v>
      </c>
      <c r="D427" s="2">
        <v>1507.04</v>
      </c>
      <c r="E427">
        <v>2</v>
      </c>
      <c r="F427">
        <v>0</v>
      </c>
      <c r="G427" t="s">
        <v>14</v>
      </c>
      <c r="H427" t="s">
        <v>21</v>
      </c>
      <c r="I427" t="s">
        <v>20</v>
      </c>
      <c r="J427" s="2">
        <f>Table1_1[[#This Row],[Sales]]-Table1_1[[#This Row],[Sales]]*Table1_1[[#This Row],[Discount]]</f>
        <v>1507.04</v>
      </c>
      <c r="K427" s="1">
        <v>45536</v>
      </c>
      <c r="L427" s="11">
        <v>45537</v>
      </c>
      <c r="M427">
        <f>DATEDIF(Table1_1[[#This Row],[Order Date]],Table1_1[[#This Row],[Ship Date]],"D")</f>
        <v>1</v>
      </c>
    </row>
    <row r="428" spans="1:13" x14ac:dyDescent="0.35">
      <c r="A428" t="s">
        <v>764</v>
      </c>
      <c r="B428" t="s">
        <v>627</v>
      </c>
      <c r="C428" t="s">
        <v>91</v>
      </c>
      <c r="D428" s="2">
        <v>2713.65</v>
      </c>
      <c r="E428">
        <v>5</v>
      </c>
      <c r="F428">
        <v>0</v>
      </c>
      <c r="G428" t="s">
        <v>14</v>
      </c>
      <c r="H428" t="s">
        <v>15</v>
      </c>
      <c r="I428" t="s">
        <v>43</v>
      </c>
      <c r="J428" s="2">
        <f>Table1_1[[#This Row],[Sales]]-Table1_1[[#This Row],[Sales]]*Table1_1[[#This Row],[Discount]]</f>
        <v>2713.65</v>
      </c>
      <c r="K428" s="1">
        <v>45125</v>
      </c>
      <c r="L428" s="11">
        <v>45129</v>
      </c>
      <c r="M428">
        <f>DATEDIF(Table1_1[[#This Row],[Order Date]],Table1_1[[#This Row],[Ship Date]],"D")</f>
        <v>4</v>
      </c>
    </row>
    <row r="429" spans="1:13" x14ac:dyDescent="0.35">
      <c r="A429" t="s">
        <v>765</v>
      </c>
      <c r="B429" t="s">
        <v>177</v>
      </c>
      <c r="C429" t="s">
        <v>354</v>
      </c>
      <c r="D429" s="2">
        <v>1672.04</v>
      </c>
      <c r="E429">
        <v>5</v>
      </c>
      <c r="F429">
        <v>0</v>
      </c>
      <c r="G429" t="s">
        <v>39</v>
      </c>
      <c r="H429" t="s">
        <v>21</v>
      </c>
      <c r="I429" t="s">
        <v>16</v>
      </c>
      <c r="J429" s="2">
        <f>Table1_1[[#This Row],[Sales]]-Table1_1[[#This Row],[Sales]]*Table1_1[[#This Row],[Discount]]</f>
        <v>1672.04</v>
      </c>
      <c r="K429" s="1">
        <v>45465</v>
      </c>
      <c r="L429" s="11">
        <v>45470</v>
      </c>
      <c r="M429">
        <f>DATEDIF(Table1_1[[#This Row],[Order Date]],Table1_1[[#This Row],[Ship Date]],"D")</f>
        <v>5</v>
      </c>
    </row>
    <row r="430" spans="1:13" x14ac:dyDescent="0.35">
      <c r="A430" t="s">
        <v>766</v>
      </c>
      <c r="B430" t="s">
        <v>767</v>
      </c>
      <c r="C430" t="s">
        <v>265</v>
      </c>
      <c r="D430" s="2">
        <v>3969.31</v>
      </c>
      <c r="E430">
        <v>1</v>
      </c>
      <c r="F430">
        <v>0.1</v>
      </c>
      <c r="G430" t="s">
        <v>14</v>
      </c>
      <c r="H430" t="s">
        <v>15</v>
      </c>
      <c r="I430" t="s">
        <v>16</v>
      </c>
      <c r="J430" s="2">
        <f>Table1_1[[#This Row],[Sales]]-Table1_1[[#This Row],[Sales]]*Table1_1[[#This Row],[Discount]]</f>
        <v>3572.3789999999999</v>
      </c>
      <c r="K430" s="1">
        <v>45623</v>
      </c>
      <c r="L430" s="11">
        <v>45629</v>
      </c>
      <c r="M430">
        <f>DATEDIF(Table1_1[[#This Row],[Order Date]],Table1_1[[#This Row],[Ship Date]],"D")</f>
        <v>6</v>
      </c>
    </row>
    <row r="431" spans="1:13" x14ac:dyDescent="0.35">
      <c r="A431" t="s">
        <v>768</v>
      </c>
      <c r="B431" t="s">
        <v>438</v>
      </c>
      <c r="C431" t="s">
        <v>82</v>
      </c>
      <c r="D431" s="2">
        <v>2375.3000000000002</v>
      </c>
      <c r="E431">
        <v>5</v>
      </c>
      <c r="F431">
        <v>0</v>
      </c>
      <c r="G431" t="s">
        <v>14</v>
      </c>
      <c r="H431" t="s">
        <v>21</v>
      </c>
      <c r="I431" t="s">
        <v>43</v>
      </c>
      <c r="J431" s="2">
        <f>Table1_1[[#This Row],[Sales]]-Table1_1[[#This Row],[Sales]]*Table1_1[[#This Row],[Discount]]</f>
        <v>2375.3000000000002</v>
      </c>
      <c r="K431" s="1">
        <v>45353</v>
      </c>
      <c r="L431" s="11">
        <v>45355</v>
      </c>
      <c r="M431">
        <f>DATEDIF(Table1_1[[#This Row],[Order Date]],Table1_1[[#This Row],[Ship Date]],"D")</f>
        <v>2</v>
      </c>
    </row>
    <row r="432" spans="1:13" x14ac:dyDescent="0.35">
      <c r="A432" t="s">
        <v>769</v>
      </c>
      <c r="B432" t="s">
        <v>770</v>
      </c>
      <c r="C432" t="s">
        <v>91</v>
      </c>
      <c r="D432" s="2">
        <v>1445.51</v>
      </c>
      <c r="E432">
        <v>1</v>
      </c>
      <c r="F432">
        <v>0.3</v>
      </c>
      <c r="G432" t="s">
        <v>14</v>
      </c>
      <c r="H432" t="s">
        <v>21</v>
      </c>
      <c r="I432" t="s">
        <v>16</v>
      </c>
      <c r="J432" s="2">
        <f>Table1_1[[#This Row],[Sales]]-Table1_1[[#This Row],[Sales]]*Table1_1[[#This Row],[Discount]]</f>
        <v>1011.857</v>
      </c>
      <c r="K432" s="1">
        <v>45487</v>
      </c>
      <c r="L432" s="11">
        <v>45490</v>
      </c>
      <c r="M432">
        <f>DATEDIF(Table1_1[[#This Row],[Order Date]],Table1_1[[#This Row],[Ship Date]],"D")</f>
        <v>3</v>
      </c>
    </row>
    <row r="433" spans="1:13" x14ac:dyDescent="0.35">
      <c r="A433" t="s">
        <v>771</v>
      </c>
      <c r="B433" t="s">
        <v>351</v>
      </c>
      <c r="C433" t="s">
        <v>207</v>
      </c>
      <c r="D433" s="2">
        <v>2858.79</v>
      </c>
      <c r="E433">
        <v>10</v>
      </c>
      <c r="F433">
        <v>0.3</v>
      </c>
      <c r="G433" t="s">
        <v>39</v>
      </c>
      <c r="H433" t="s">
        <v>15</v>
      </c>
      <c r="I433" t="s">
        <v>20</v>
      </c>
      <c r="J433" s="2">
        <f>Table1_1[[#This Row],[Sales]]-Table1_1[[#This Row],[Sales]]*Table1_1[[#This Row],[Discount]]</f>
        <v>2001.153</v>
      </c>
      <c r="K433" s="1">
        <v>45750</v>
      </c>
      <c r="L433" s="11">
        <v>45755</v>
      </c>
      <c r="M433">
        <f>DATEDIF(Table1_1[[#This Row],[Order Date]],Table1_1[[#This Row],[Ship Date]],"D")</f>
        <v>5</v>
      </c>
    </row>
    <row r="434" spans="1:13" x14ac:dyDescent="0.35">
      <c r="A434" t="s">
        <v>772</v>
      </c>
      <c r="B434" t="s">
        <v>691</v>
      </c>
      <c r="C434" t="s">
        <v>293</v>
      </c>
      <c r="D434" s="2">
        <v>4040</v>
      </c>
      <c r="E434">
        <v>8</v>
      </c>
      <c r="F434">
        <v>0.3</v>
      </c>
      <c r="G434" t="s">
        <v>14</v>
      </c>
      <c r="H434" t="s">
        <v>15</v>
      </c>
      <c r="I434" t="s">
        <v>20</v>
      </c>
      <c r="J434" s="2">
        <f>Table1_1[[#This Row],[Sales]]-Table1_1[[#This Row],[Sales]]*Table1_1[[#This Row],[Discount]]</f>
        <v>2828</v>
      </c>
      <c r="K434" s="1">
        <v>45166</v>
      </c>
      <c r="L434" s="11">
        <v>45170</v>
      </c>
      <c r="M434">
        <f>DATEDIF(Table1_1[[#This Row],[Order Date]],Table1_1[[#This Row],[Ship Date]],"D")</f>
        <v>4</v>
      </c>
    </row>
    <row r="435" spans="1:13" x14ac:dyDescent="0.35">
      <c r="A435" t="s">
        <v>773</v>
      </c>
      <c r="B435" t="s">
        <v>86</v>
      </c>
      <c r="C435" t="s">
        <v>94</v>
      </c>
      <c r="D435" s="2">
        <v>4404.18</v>
      </c>
      <c r="E435">
        <v>2</v>
      </c>
      <c r="F435">
        <v>0.2</v>
      </c>
      <c r="G435" t="s">
        <v>19</v>
      </c>
      <c r="H435" t="s">
        <v>21</v>
      </c>
      <c r="I435" t="s">
        <v>43</v>
      </c>
      <c r="J435" s="2">
        <f>Table1_1[[#This Row],[Sales]]-Table1_1[[#This Row],[Sales]]*Table1_1[[#This Row],[Discount]]</f>
        <v>3523.3440000000001</v>
      </c>
      <c r="K435" s="1">
        <v>45231</v>
      </c>
      <c r="L435" s="11">
        <v>45235</v>
      </c>
      <c r="M435">
        <f>DATEDIF(Table1_1[[#This Row],[Order Date]],Table1_1[[#This Row],[Ship Date]],"D")</f>
        <v>4</v>
      </c>
    </row>
    <row r="436" spans="1:13" x14ac:dyDescent="0.35">
      <c r="A436" t="s">
        <v>774</v>
      </c>
      <c r="B436" t="s">
        <v>340</v>
      </c>
      <c r="C436" t="s">
        <v>185</v>
      </c>
      <c r="D436" s="2">
        <v>2139.62</v>
      </c>
      <c r="E436">
        <v>4</v>
      </c>
      <c r="F436">
        <v>0.3</v>
      </c>
      <c r="G436" t="s">
        <v>14</v>
      </c>
      <c r="H436" t="s">
        <v>15</v>
      </c>
      <c r="I436" t="s">
        <v>43</v>
      </c>
      <c r="J436" s="2">
        <f>Table1_1[[#This Row],[Sales]]-Table1_1[[#This Row],[Sales]]*Table1_1[[#This Row],[Discount]]</f>
        <v>1497.7339999999999</v>
      </c>
      <c r="K436" s="1">
        <v>44950</v>
      </c>
      <c r="L436" s="11">
        <v>44957</v>
      </c>
      <c r="M436">
        <f>DATEDIF(Table1_1[[#This Row],[Order Date]],Table1_1[[#This Row],[Ship Date]],"D")</f>
        <v>7</v>
      </c>
    </row>
    <row r="437" spans="1:13" x14ac:dyDescent="0.35">
      <c r="A437" t="s">
        <v>775</v>
      </c>
      <c r="B437" t="s">
        <v>196</v>
      </c>
      <c r="C437" t="s">
        <v>376</v>
      </c>
      <c r="D437" s="2">
        <v>2175.17</v>
      </c>
      <c r="E437">
        <v>1</v>
      </c>
      <c r="F437">
        <v>0.3</v>
      </c>
      <c r="G437" t="s">
        <v>14</v>
      </c>
      <c r="H437" t="s">
        <v>21</v>
      </c>
      <c r="I437" t="s">
        <v>43</v>
      </c>
      <c r="J437" s="2">
        <f>Table1_1[[#This Row],[Sales]]-Table1_1[[#This Row],[Sales]]*Table1_1[[#This Row],[Discount]]</f>
        <v>1522.6190000000001</v>
      </c>
      <c r="K437" s="1">
        <v>45688</v>
      </c>
      <c r="L437" s="11">
        <v>45691</v>
      </c>
      <c r="M437">
        <f>DATEDIF(Table1_1[[#This Row],[Order Date]],Table1_1[[#This Row],[Ship Date]],"D")</f>
        <v>3</v>
      </c>
    </row>
    <row r="438" spans="1:13" x14ac:dyDescent="0.35">
      <c r="A438" t="s">
        <v>776</v>
      </c>
      <c r="B438" t="s">
        <v>225</v>
      </c>
      <c r="C438" t="s">
        <v>46</v>
      </c>
      <c r="D438" s="2">
        <v>2031.7249999999999</v>
      </c>
      <c r="E438">
        <v>8</v>
      </c>
      <c r="F438">
        <v>0.3</v>
      </c>
      <c r="G438" t="s">
        <v>19</v>
      </c>
      <c r="H438" t="s">
        <v>21</v>
      </c>
      <c r="I438" t="s">
        <v>16</v>
      </c>
      <c r="J438" s="2">
        <f>Table1_1[[#This Row],[Sales]]-Table1_1[[#This Row],[Sales]]*Table1_1[[#This Row],[Discount]]</f>
        <v>1422.2075</v>
      </c>
      <c r="K438" s="1">
        <v>45682</v>
      </c>
      <c r="L438" s="11">
        <v>45686</v>
      </c>
      <c r="M438">
        <f>DATEDIF(Table1_1[[#This Row],[Order Date]],Table1_1[[#This Row],[Ship Date]],"D")</f>
        <v>4</v>
      </c>
    </row>
    <row r="439" spans="1:13" x14ac:dyDescent="0.35">
      <c r="A439" t="s">
        <v>777</v>
      </c>
      <c r="B439" t="s">
        <v>778</v>
      </c>
      <c r="C439" t="s">
        <v>226</v>
      </c>
      <c r="D439" s="2">
        <v>1689.38</v>
      </c>
      <c r="E439">
        <v>4</v>
      </c>
      <c r="F439">
        <v>0.1</v>
      </c>
      <c r="G439" t="s">
        <v>19</v>
      </c>
      <c r="H439" t="s">
        <v>15</v>
      </c>
      <c r="I439" t="s">
        <v>16</v>
      </c>
      <c r="J439" s="2">
        <f>Table1_1[[#This Row],[Sales]]-Table1_1[[#This Row],[Sales]]*Table1_1[[#This Row],[Discount]]</f>
        <v>1520.442</v>
      </c>
      <c r="K439" s="1">
        <v>45658</v>
      </c>
      <c r="L439" s="11">
        <v>45661</v>
      </c>
      <c r="M439">
        <f>DATEDIF(Table1_1[[#This Row],[Order Date]],Table1_1[[#This Row],[Ship Date]],"D")</f>
        <v>3</v>
      </c>
    </row>
    <row r="440" spans="1:13" x14ac:dyDescent="0.35">
      <c r="A440" t="s">
        <v>779</v>
      </c>
      <c r="B440" t="s">
        <v>295</v>
      </c>
      <c r="C440" t="s">
        <v>240</v>
      </c>
      <c r="D440" s="2">
        <v>2595.33</v>
      </c>
      <c r="E440">
        <v>1</v>
      </c>
      <c r="F440">
        <v>0.3</v>
      </c>
      <c r="G440" t="s">
        <v>14</v>
      </c>
      <c r="H440" t="s">
        <v>15</v>
      </c>
      <c r="I440" t="s">
        <v>20</v>
      </c>
      <c r="J440" s="2">
        <f>Table1_1[[#This Row],[Sales]]-Table1_1[[#This Row],[Sales]]*Table1_1[[#This Row],[Discount]]</f>
        <v>1816.731</v>
      </c>
      <c r="K440" s="1">
        <v>45089</v>
      </c>
      <c r="L440" s="11">
        <v>45091</v>
      </c>
      <c r="M440">
        <f>DATEDIF(Table1_1[[#This Row],[Order Date]],Table1_1[[#This Row],[Ship Date]],"D")</f>
        <v>2</v>
      </c>
    </row>
    <row r="441" spans="1:13" x14ac:dyDescent="0.35">
      <c r="A441" t="s">
        <v>780</v>
      </c>
      <c r="B441" t="s">
        <v>322</v>
      </c>
      <c r="C441" t="s">
        <v>262</v>
      </c>
      <c r="D441" s="2">
        <v>3312.84</v>
      </c>
      <c r="E441">
        <v>1</v>
      </c>
      <c r="F441">
        <v>0.1</v>
      </c>
      <c r="G441" t="s">
        <v>19</v>
      </c>
      <c r="H441" t="s">
        <v>15</v>
      </c>
      <c r="I441" t="s">
        <v>43</v>
      </c>
      <c r="J441" s="2">
        <f>Table1_1[[#This Row],[Sales]]-Table1_1[[#This Row],[Sales]]*Table1_1[[#This Row],[Discount]]</f>
        <v>2981.556</v>
      </c>
      <c r="K441" s="1">
        <v>45311</v>
      </c>
      <c r="L441" s="11">
        <v>45313</v>
      </c>
      <c r="M441">
        <f>DATEDIF(Table1_1[[#This Row],[Order Date]],Table1_1[[#This Row],[Ship Date]],"D")</f>
        <v>2</v>
      </c>
    </row>
    <row r="442" spans="1:13" x14ac:dyDescent="0.35">
      <c r="A442" t="s">
        <v>781</v>
      </c>
      <c r="B442" t="s">
        <v>782</v>
      </c>
      <c r="C442" t="s">
        <v>251</v>
      </c>
      <c r="D442" s="2">
        <v>1412.09</v>
      </c>
      <c r="E442">
        <v>8</v>
      </c>
      <c r="F442">
        <v>0.3</v>
      </c>
      <c r="G442" t="s">
        <v>14</v>
      </c>
      <c r="H442" t="s">
        <v>15</v>
      </c>
      <c r="I442" t="s">
        <v>43</v>
      </c>
      <c r="J442" s="2">
        <f>Table1_1[[#This Row],[Sales]]-Table1_1[[#This Row],[Sales]]*Table1_1[[#This Row],[Discount]]</f>
        <v>988.46299999999997</v>
      </c>
      <c r="K442" s="1">
        <v>45414</v>
      </c>
      <c r="L442" s="11">
        <v>45421</v>
      </c>
      <c r="M442">
        <f>DATEDIF(Table1_1[[#This Row],[Order Date]],Table1_1[[#This Row],[Ship Date]],"D")</f>
        <v>7</v>
      </c>
    </row>
    <row r="443" spans="1:13" x14ac:dyDescent="0.35">
      <c r="A443" t="s">
        <v>783</v>
      </c>
      <c r="B443" t="s">
        <v>646</v>
      </c>
      <c r="C443" t="s">
        <v>293</v>
      </c>
      <c r="D443" s="2">
        <v>4655.09</v>
      </c>
      <c r="E443">
        <v>5</v>
      </c>
      <c r="F443">
        <v>0.1</v>
      </c>
      <c r="G443" t="s">
        <v>14</v>
      </c>
      <c r="H443" t="s">
        <v>21</v>
      </c>
      <c r="I443" t="s">
        <v>16</v>
      </c>
      <c r="J443" s="2">
        <f>Table1_1[[#This Row],[Sales]]-Table1_1[[#This Row],[Sales]]*Table1_1[[#This Row],[Discount]]</f>
        <v>4189.5810000000001</v>
      </c>
      <c r="K443" s="1">
        <v>45253</v>
      </c>
      <c r="L443" s="11">
        <v>45256</v>
      </c>
      <c r="M443">
        <f>DATEDIF(Table1_1[[#This Row],[Order Date]],Table1_1[[#This Row],[Ship Date]],"D")</f>
        <v>3</v>
      </c>
    </row>
    <row r="444" spans="1:13" x14ac:dyDescent="0.35">
      <c r="A444" t="s">
        <v>784</v>
      </c>
      <c r="B444" t="s">
        <v>429</v>
      </c>
      <c r="C444" t="s">
        <v>68</v>
      </c>
      <c r="D444" s="2">
        <v>1310.73</v>
      </c>
      <c r="E444">
        <v>3</v>
      </c>
      <c r="F444">
        <v>0.1</v>
      </c>
      <c r="G444" t="s">
        <v>39</v>
      </c>
      <c r="H444" t="s">
        <v>21</v>
      </c>
      <c r="I444" t="s">
        <v>16</v>
      </c>
      <c r="J444" s="2">
        <f>Table1_1[[#This Row],[Sales]]-Table1_1[[#This Row],[Sales]]*Table1_1[[#This Row],[Discount]]</f>
        <v>1179.6569999999999</v>
      </c>
      <c r="K444" s="1">
        <v>45731</v>
      </c>
      <c r="L444" s="11">
        <v>45737</v>
      </c>
      <c r="M444">
        <f>DATEDIF(Table1_1[[#This Row],[Order Date]],Table1_1[[#This Row],[Ship Date]],"D")</f>
        <v>6</v>
      </c>
    </row>
    <row r="445" spans="1:13" x14ac:dyDescent="0.35">
      <c r="A445" t="s">
        <v>785</v>
      </c>
      <c r="B445" t="s">
        <v>462</v>
      </c>
      <c r="C445" t="s">
        <v>160</v>
      </c>
      <c r="D445" s="2">
        <v>3954.7</v>
      </c>
      <c r="E445">
        <v>5</v>
      </c>
      <c r="F445">
        <v>0.3</v>
      </c>
      <c r="G445" t="s">
        <v>19</v>
      </c>
      <c r="H445" t="s">
        <v>21</v>
      </c>
      <c r="I445" t="s">
        <v>16</v>
      </c>
      <c r="J445" s="2">
        <f>Table1_1[[#This Row],[Sales]]-Table1_1[[#This Row],[Sales]]*Table1_1[[#This Row],[Discount]]</f>
        <v>2768.29</v>
      </c>
      <c r="K445" s="1">
        <v>45564</v>
      </c>
      <c r="L445" s="11">
        <v>45571</v>
      </c>
      <c r="M445">
        <f>DATEDIF(Table1_1[[#This Row],[Order Date]],Table1_1[[#This Row],[Ship Date]],"D")</f>
        <v>7</v>
      </c>
    </row>
    <row r="446" spans="1:13" x14ac:dyDescent="0.35">
      <c r="A446" t="s">
        <v>786</v>
      </c>
      <c r="B446" t="s">
        <v>639</v>
      </c>
      <c r="C446" t="s">
        <v>237</v>
      </c>
      <c r="D446" s="2">
        <v>4110.54</v>
      </c>
      <c r="E446">
        <v>1</v>
      </c>
      <c r="F446">
        <v>0.2</v>
      </c>
      <c r="G446" t="s">
        <v>39</v>
      </c>
      <c r="H446" t="s">
        <v>21</v>
      </c>
      <c r="I446" t="s">
        <v>20</v>
      </c>
      <c r="J446" s="2">
        <f>Table1_1[[#This Row],[Sales]]-Table1_1[[#This Row],[Sales]]*Table1_1[[#This Row],[Discount]]</f>
        <v>3288.4319999999998</v>
      </c>
      <c r="K446" s="1">
        <v>45712</v>
      </c>
      <c r="L446" s="11">
        <v>45719</v>
      </c>
      <c r="M446">
        <f>DATEDIF(Table1_1[[#This Row],[Order Date]],Table1_1[[#This Row],[Ship Date]],"D")</f>
        <v>7</v>
      </c>
    </row>
    <row r="447" spans="1:13" x14ac:dyDescent="0.35">
      <c r="A447" t="s">
        <v>787</v>
      </c>
      <c r="B447" t="s">
        <v>664</v>
      </c>
      <c r="C447" t="s">
        <v>265</v>
      </c>
      <c r="D447" s="2">
        <v>1774.93</v>
      </c>
      <c r="E447">
        <v>3</v>
      </c>
      <c r="F447">
        <v>0.3</v>
      </c>
      <c r="G447" t="s">
        <v>14</v>
      </c>
      <c r="H447" t="s">
        <v>15</v>
      </c>
      <c r="I447" t="s">
        <v>20</v>
      </c>
      <c r="J447" s="2">
        <f>Table1_1[[#This Row],[Sales]]-Table1_1[[#This Row],[Sales]]*Table1_1[[#This Row],[Discount]]</f>
        <v>1242.451</v>
      </c>
      <c r="K447" s="1">
        <v>45743</v>
      </c>
      <c r="L447" s="11">
        <v>45747</v>
      </c>
      <c r="M447">
        <f>DATEDIF(Table1_1[[#This Row],[Order Date]],Table1_1[[#This Row],[Ship Date]],"D")</f>
        <v>4</v>
      </c>
    </row>
    <row r="448" spans="1:13" x14ac:dyDescent="0.35">
      <c r="A448" t="s">
        <v>788</v>
      </c>
      <c r="B448" t="s">
        <v>789</v>
      </c>
      <c r="C448" t="s">
        <v>166</v>
      </c>
      <c r="D448" s="2">
        <v>1672.92</v>
      </c>
      <c r="E448">
        <v>9</v>
      </c>
      <c r="F448">
        <v>0.3</v>
      </c>
      <c r="G448" t="s">
        <v>14</v>
      </c>
      <c r="H448" t="s">
        <v>21</v>
      </c>
      <c r="I448" t="s">
        <v>16</v>
      </c>
      <c r="J448" s="2">
        <f>Table1_1[[#This Row],[Sales]]-Table1_1[[#This Row],[Sales]]*Table1_1[[#This Row],[Discount]]</f>
        <v>1171.0440000000001</v>
      </c>
      <c r="K448" s="1">
        <v>45721</v>
      </c>
      <c r="L448" s="11">
        <v>45728</v>
      </c>
      <c r="M448">
        <f>DATEDIF(Table1_1[[#This Row],[Order Date]],Table1_1[[#This Row],[Ship Date]],"D")</f>
        <v>7</v>
      </c>
    </row>
    <row r="449" spans="1:13" x14ac:dyDescent="0.35">
      <c r="A449" t="s">
        <v>790</v>
      </c>
      <c r="B449" t="s">
        <v>791</v>
      </c>
      <c r="C449" t="s">
        <v>31</v>
      </c>
      <c r="D449" s="2">
        <v>1381.6</v>
      </c>
      <c r="E449">
        <v>5</v>
      </c>
      <c r="F449">
        <v>0.3</v>
      </c>
      <c r="G449" t="s">
        <v>14</v>
      </c>
      <c r="H449" t="s">
        <v>15</v>
      </c>
      <c r="I449" t="s">
        <v>20</v>
      </c>
      <c r="J449" s="2">
        <f>Table1_1[[#This Row],[Sales]]-Table1_1[[#This Row],[Sales]]*Table1_1[[#This Row],[Discount]]</f>
        <v>967.11999999999989</v>
      </c>
      <c r="K449" s="1">
        <v>45484</v>
      </c>
      <c r="L449" s="11">
        <v>45491</v>
      </c>
      <c r="M449">
        <f>DATEDIF(Table1_1[[#This Row],[Order Date]],Table1_1[[#This Row],[Ship Date]],"D")</f>
        <v>7</v>
      </c>
    </row>
    <row r="450" spans="1:13" x14ac:dyDescent="0.35">
      <c r="A450" t="s">
        <v>792</v>
      </c>
      <c r="B450" t="s">
        <v>340</v>
      </c>
      <c r="C450" t="s">
        <v>207</v>
      </c>
      <c r="D450" s="2">
        <v>3226.87</v>
      </c>
      <c r="E450">
        <v>1</v>
      </c>
      <c r="F450">
        <v>0.1</v>
      </c>
      <c r="G450" t="s">
        <v>19</v>
      </c>
      <c r="H450" t="s">
        <v>21</v>
      </c>
      <c r="I450" t="s">
        <v>20</v>
      </c>
      <c r="J450" s="2">
        <f>Table1_1[[#This Row],[Sales]]-Table1_1[[#This Row],[Sales]]*Table1_1[[#This Row],[Discount]]</f>
        <v>2904.183</v>
      </c>
      <c r="K450" s="1">
        <v>45296</v>
      </c>
      <c r="L450" s="11">
        <v>45301</v>
      </c>
      <c r="M450">
        <f>DATEDIF(Table1_1[[#This Row],[Order Date]],Table1_1[[#This Row],[Ship Date]],"D")</f>
        <v>5</v>
      </c>
    </row>
    <row r="451" spans="1:13" x14ac:dyDescent="0.35">
      <c r="A451" t="s">
        <v>793</v>
      </c>
      <c r="B451" t="s">
        <v>193</v>
      </c>
      <c r="C451" t="s">
        <v>102</v>
      </c>
      <c r="D451" s="2">
        <v>856.37</v>
      </c>
      <c r="E451">
        <v>5</v>
      </c>
      <c r="F451">
        <v>0.2</v>
      </c>
      <c r="G451" t="s">
        <v>39</v>
      </c>
      <c r="H451" t="s">
        <v>21</v>
      </c>
      <c r="I451" t="s">
        <v>20</v>
      </c>
      <c r="J451" s="2">
        <f>Table1_1[[#This Row],[Sales]]-Table1_1[[#This Row],[Sales]]*Table1_1[[#This Row],[Discount]]</f>
        <v>685.096</v>
      </c>
      <c r="K451" s="1">
        <v>45710</v>
      </c>
      <c r="L451" s="11">
        <v>45715</v>
      </c>
      <c r="M451">
        <f>DATEDIF(Table1_1[[#This Row],[Order Date]],Table1_1[[#This Row],[Ship Date]],"D")</f>
        <v>5</v>
      </c>
    </row>
    <row r="452" spans="1:13" x14ac:dyDescent="0.35">
      <c r="A452" t="s">
        <v>794</v>
      </c>
      <c r="B452" t="s">
        <v>664</v>
      </c>
      <c r="C452" t="s">
        <v>217</v>
      </c>
      <c r="D452" s="2">
        <v>2163.2399999999998</v>
      </c>
      <c r="E452">
        <v>1</v>
      </c>
      <c r="F452">
        <v>0.2</v>
      </c>
      <c r="G452" t="s">
        <v>19</v>
      </c>
      <c r="H452" t="s">
        <v>21</v>
      </c>
      <c r="I452" t="s">
        <v>43</v>
      </c>
      <c r="J452" s="2">
        <f>Table1_1[[#This Row],[Sales]]-Table1_1[[#This Row],[Sales]]*Table1_1[[#This Row],[Discount]]</f>
        <v>1730.5919999999999</v>
      </c>
      <c r="K452" s="1">
        <v>45223</v>
      </c>
      <c r="L452" s="11">
        <v>45229</v>
      </c>
      <c r="M452">
        <f>DATEDIF(Table1_1[[#This Row],[Order Date]],Table1_1[[#This Row],[Ship Date]],"D")</f>
        <v>6</v>
      </c>
    </row>
    <row r="453" spans="1:13" x14ac:dyDescent="0.35">
      <c r="A453" t="s">
        <v>795</v>
      </c>
      <c r="B453" t="s">
        <v>796</v>
      </c>
      <c r="C453" t="s">
        <v>487</v>
      </c>
      <c r="D453" s="2">
        <v>403.29</v>
      </c>
      <c r="E453">
        <v>9</v>
      </c>
      <c r="F453">
        <v>0.2</v>
      </c>
      <c r="G453" t="s">
        <v>19</v>
      </c>
      <c r="H453" t="s">
        <v>21</v>
      </c>
      <c r="I453" t="s">
        <v>43</v>
      </c>
      <c r="J453" s="2">
        <f>Table1_1[[#This Row],[Sales]]-Table1_1[[#This Row],[Sales]]*Table1_1[[#This Row],[Discount]]</f>
        <v>322.63200000000001</v>
      </c>
      <c r="K453" s="1">
        <v>45080</v>
      </c>
      <c r="L453" s="11">
        <v>45086</v>
      </c>
      <c r="M453">
        <f>DATEDIF(Table1_1[[#This Row],[Order Date]],Table1_1[[#This Row],[Ship Date]],"D")</f>
        <v>6</v>
      </c>
    </row>
    <row r="454" spans="1:13" x14ac:dyDescent="0.35">
      <c r="A454" t="s">
        <v>797</v>
      </c>
      <c r="B454" t="s">
        <v>288</v>
      </c>
      <c r="C454" t="s">
        <v>254</v>
      </c>
      <c r="D454" s="2">
        <v>1360.83</v>
      </c>
      <c r="E454">
        <v>7</v>
      </c>
      <c r="F454">
        <v>0.3</v>
      </c>
      <c r="G454" t="s">
        <v>19</v>
      </c>
      <c r="H454" t="s">
        <v>21</v>
      </c>
      <c r="I454" t="s">
        <v>16</v>
      </c>
      <c r="J454" s="2">
        <f>Table1_1[[#This Row],[Sales]]-Table1_1[[#This Row],[Sales]]*Table1_1[[#This Row],[Discount]]</f>
        <v>952.5809999999999</v>
      </c>
      <c r="K454" s="1">
        <v>45720</v>
      </c>
      <c r="L454" s="11">
        <v>45725</v>
      </c>
      <c r="M454">
        <f>DATEDIF(Table1_1[[#This Row],[Order Date]],Table1_1[[#This Row],[Ship Date]],"D")</f>
        <v>5</v>
      </c>
    </row>
    <row r="455" spans="1:13" x14ac:dyDescent="0.35">
      <c r="A455" t="s">
        <v>798</v>
      </c>
      <c r="B455" t="s">
        <v>88</v>
      </c>
      <c r="C455" t="s">
        <v>441</v>
      </c>
      <c r="D455" s="2">
        <v>1653.72</v>
      </c>
      <c r="E455">
        <v>7</v>
      </c>
      <c r="F455">
        <v>0.1</v>
      </c>
      <c r="G455" t="s">
        <v>39</v>
      </c>
      <c r="H455" t="s">
        <v>21</v>
      </c>
      <c r="I455" t="s">
        <v>16</v>
      </c>
      <c r="J455" s="2">
        <f>Table1_1[[#This Row],[Sales]]-Table1_1[[#This Row],[Sales]]*Table1_1[[#This Row],[Discount]]</f>
        <v>1488.348</v>
      </c>
      <c r="K455" s="1">
        <v>45615</v>
      </c>
      <c r="L455" s="11">
        <v>45619</v>
      </c>
      <c r="M455">
        <f>DATEDIF(Table1_1[[#This Row],[Order Date]],Table1_1[[#This Row],[Ship Date]],"D")</f>
        <v>4</v>
      </c>
    </row>
    <row r="456" spans="1:13" x14ac:dyDescent="0.35">
      <c r="A456" t="s">
        <v>799</v>
      </c>
      <c r="B456" t="s">
        <v>156</v>
      </c>
      <c r="C456" t="s">
        <v>190</v>
      </c>
      <c r="D456" s="2">
        <v>4064.87</v>
      </c>
      <c r="E456">
        <v>4</v>
      </c>
      <c r="F456">
        <v>0</v>
      </c>
      <c r="G456" t="s">
        <v>19</v>
      </c>
      <c r="H456" t="s">
        <v>15</v>
      </c>
      <c r="I456" t="s">
        <v>16</v>
      </c>
      <c r="J456" s="2">
        <f>Table1_1[[#This Row],[Sales]]-Table1_1[[#This Row],[Sales]]*Table1_1[[#This Row],[Discount]]</f>
        <v>4064.87</v>
      </c>
      <c r="K456" s="1">
        <v>45296</v>
      </c>
      <c r="L456" s="11">
        <v>45302</v>
      </c>
      <c r="M456">
        <f>DATEDIF(Table1_1[[#This Row],[Order Date]],Table1_1[[#This Row],[Ship Date]],"D")</f>
        <v>6</v>
      </c>
    </row>
    <row r="457" spans="1:13" x14ac:dyDescent="0.35">
      <c r="A457" t="s">
        <v>800</v>
      </c>
      <c r="B457" t="s">
        <v>801</v>
      </c>
      <c r="C457" t="s">
        <v>157</v>
      </c>
      <c r="D457" s="2">
        <v>1484.39</v>
      </c>
      <c r="E457">
        <v>7</v>
      </c>
      <c r="F457">
        <v>0.2</v>
      </c>
      <c r="G457" t="s">
        <v>14</v>
      </c>
      <c r="H457" t="s">
        <v>15</v>
      </c>
      <c r="I457" t="s">
        <v>43</v>
      </c>
      <c r="J457" s="2">
        <f>Table1_1[[#This Row],[Sales]]-Table1_1[[#This Row],[Sales]]*Table1_1[[#This Row],[Discount]]</f>
        <v>1187.5120000000002</v>
      </c>
      <c r="K457" s="1">
        <v>45700</v>
      </c>
      <c r="L457" s="11">
        <v>45705</v>
      </c>
      <c r="M457">
        <f>DATEDIF(Table1_1[[#This Row],[Order Date]],Table1_1[[#This Row],[Ship Date]],"D")</f>
        <v>5</v>
      </c>
    </row>
    <row r="458" spans="1:13" x14ac:dyDescent="0.35">
      <c r="A458" t="s">
        <v>802</v>
      </c>
      <c r="B458" t="s">
        <v>28</v>
      </c>
      <c r="C458" t="s">
        <v>157</v>
      </c>
      <c r="D458" s="2">
        <v>3634.91</v>
      </c>
      <c r="E458">
        <v>10</v>
      </c>
      <c r="F458">
        <v>0.1</v>
      </c>
      <c r="G458" t="s">
        <v>19</v>
      </c>
      <c r="H458" t="s">
        <v>21</v>
      </c>
      <c r="I458" t="s">
        <v>43</v>
      </c>
      <c r="J458" s="2">
        <f>Table1_1[[#This Row],[Sales]]-Table1_1[[#This Row],[Sales]]*Table1_1[[#This Row],[Discount]]</f>
        <v>3271.4189999999999</v>
      </c>
      <c r="K458" s="1">
        <v>45161</v>
      </c>
      <c r="L458" s="11">
        <v>45164</v>
      </c>
      <c r="M458">
        <f>DATEDIF(Table1_1[[#This Row],[Order Date]],Table1_1[[#This Row],[Ship Date]],"D")</f>
        <v>3</v>
      </c>
    </row>
    <row r="459" spans="1:13" x14ac:dyDescent="0.35">
      <c r="A459" t="s">
        <v>803</v>
      </c>
      <c r="B459" t="s">
        <v>804</v>
      </c>
      <c r="C459" t="s">
        <v>60</v>
      </c>
      <c r="D459" s="2">
        <v>1393.97</v>
      </c>
      <c r="E459">
        <v>4</v>
      </c>
      <c r="F459">
        <v>0.2</v>
      </c>
      <c r="G459" t="s">
        <v>19</v>
      </c>
      <c r="H459" t="s">
        <v>21</v>
      </c>
      <c r="I459" t="s">
        <v>16</v>
      </c>
      <c r="J459" s="2">
        <f>Table1_1[[#This Row],[Sales]]-Table1_1[[#This Row],[Sales]]*Table1_1[[#This Row],[Discount]]</f>
        <v>1115.1759999999999</v>
      </c>
      <c r="K459" s="1">
        <v>45066</v>
      </c>
      <c r="L459" s="11">
        <v>45071</v>
      </c>
      <c r="M459">
        <f>DATEDIF(Table1_1[[#This Row],[Order Date]],Table1_1[[#This Row],[Ship Date]],"D")</f>
        <v>5</v>
      </c>
    </row>
    <row r="460" spans="1:13" x14ac:dyDescent="0.35">
      <c r="A460" t="s">
        <v>805</v>
      </c>
      <c r="B460" t="s">
        <v>559</v>
      </c>
      <c r="C460" t="s">
        <v>565</v>
      </c>
      <c r="D460" s="2">
        <v>1270.6199999999999</v>
      </c>
      <c r="E460">
        <v>1</v>
      </c>
      <c r="F460">
        <v>0.3</v>
      </c>
      <c r="G460" t="s">
        <v>19</v>
      </c>
      <c r="H460" t="s">
        <v>21</v>
      </c>
      <c r="I460" t="s">
        <v>43</v>
      </c>
      <c r="J460" s="2">
        <f>Table1_1[[#This Row],[Sales]]-Table1_1[[#This Row],[Sales]]*Table1_1[[#This Row],[Discount]]</f>
        <v>889.43399999999997</v>
      </c>
      <c r="K460" s="1">
        <v>45710</v>
      </c>
      <c r="L460" s="11">
        <v>45717</v>
      </c>
      <c r="M460">
        <f>DATEDIF(Table1_1[[#This Row],[Order Date]],Table1_1[[#This Row],[Ship Date]],"D")</f>
        <v>7</v>
      </c>
    </row>
    <row r="461" spans="1:13" x14ac:dyDescent="0.35">
      <c r="A461" t="s">
        <v>806</v>
      </c>
      <c r="B461" t="s">
        <v>807</v>
      </c>
      <c r="C461" t="s">
        <v>207</v>
      </c>
      <c r="D461" s="2">
        <v>3421.59</v>
      </c>
      <c r="E461">
        <v>1</v>
      </c>
      <c r="F461">
        <v>0.1</v>
      </c>
      <c r="G461" t="s">
        <v>19</v>
      </c>
      <c r="H461" t="s">
        <v>15</v>
      </c>
      <c r="I461" t="s">
        <v>16</v>
      </c>
      <c r="J461" s="2">
        <f>Table1_1[[#This Row],[Sales]]-Table1_1[[#This Row],[Sales]]*Table1_1[[#This Row],[Discount]]</f>
        <v>3079.431</v>
      </c>
      <c r="K461" s="1">
        <v>45030</v>
      </c>
      <c r="L461" s="11">
        <v>45033</v>
      </c>
      <c r="M461">
        <f>DATEDIF(Table1_1[[#This Row],[Order Date]],Table1_1[[#This Row],[Ship Date]],"D")</f>
        <v>3</v>
      </c>
    </row>
    <row r="462" spans="1:13" x14ac:dyDescent="0.35">
      <c r="A462" t="s">
        <v>808</v>
      </c>
      <c r="B462" t="s">
        <v>767</v>
      </c>
      <c r="C462" t="s">
        <v>624</v>
      </c>
      <c r="D462" s="2">
        <v>984.25</v>
      </c>
      <c r="E462">
        <v>5</v>
      </c>
      <c r="F462">
        <v>0.2</v>
      </c>
      <c r="G462" t="s">
        <v>14</v>
      </c>
      <c r="H462" t="s">
        <v>21</v>
      </c>
      <c r="I462" t="s">
        <v>43</v>
      </c>
      <c r="J462" s="2">
        <f>Table1_1[[#This Row],[Sales]]-Table1_1[[#This Row],[Sales]]*Table1_1[[#This Row],[Discount]]</f>
        <v>787.4</v>
      </c>
      <c r="K462" s="1">
        <v>45680</v>
      </c>
      <c r="L462" s="11">
        <v>45682</v>
      </c>
      <c r="M462">
        <f>DATEDIF(Table1_1[[#This Row],[Order Date]],Table1_1[[#This Row],[Ship Date]],"D")</f>
        <v>2</v>
      </c>
    </row>
    <row r="463" spans="1:13" x14ac:dyDescent="0.35">
      <c r="A463" t="s">
        <v>809</v>
      </c>
      <c r="B463" t="s">
        <v>177</v>
      </c>
      <c r="C463" t="s">
        <v>175</v>
      </c>
      <c r="D463" s="2">
        <v>778.82</v>
      </c>
      <c r="E463">
        <v>2</v>
      </c>
      <c r="F463">
        <v>0.3</v>
      </c>
      <c r="G463" t="s">
        <v>14</v>
      </c>
      <c r="H463" t="s">
        <v>15</v>
      </c>
      <c r="I463" t="s">
        <v>43</v>
      </c>
      <c r="J463" s="2">
        <f>Table1_1[[#This Row],[Sales]]-Table1_1[[#This Row],[Sales]]*Table1_1[[#This Row],[Discount]]</f>
        <v>545.17399999999998</v>
      </c>
      <c r="K463" s="1">
        <v>45468</v>
      </c>
      <c r="L463" s="11">
        <v>45470</v>
      </c>
      <c r="M463">
        <f>DATEDIF(Table1_1[[#This Row],[Order Date]],Table1_1[[#This Row],[Ship Date]],"D")</f>
        <v>2</v>
      </c>
    </row>
    <row r="464" spans="1:13" x14ac:dyDescent="0.35">
      <c r="A464" t="s">
        <v>810</v>
      </c>
      <c r="B464" t="s">
        <v>679</v>
      </c>
      <c r="C464" t="s">
        <v>318</v>
      </c>
      <c r="D464" s="2">
        <v>3556.97</v>
      </c>
      <c r="E464">
        <v>4</v>
      </c>
      <c r="F464">
        <v>0.2</v>
      </c>
      <c r="G464" t="s">
        <v>39</v>
      </c>
      <c r="H464" t="s">
        <v>21</v>
      </c>
      <c r="I464" t="s">
        <v>20</v>
      </c>
      <c r="J464" s="2">
        <f>Table1_1[[#This Row],[Sales]]-Table1_1[[#This Row],[Sales]]*Table1_1[[#This Row],[Discount]]</f>
        <v>2845.576</v>
      </c>
      <c r="K464" s="1">
        <v>45238</v>
      </c>
      <c r="L464" s="11">
        <v>45244</v>
      </c>
      <c r="M464">
        <f>DATEDIF(Table1_1[[#This Row],[Order Date]],Table1_1[[#This Row],[Ship Date]],"D")</f>
        <v>6</v>
      </c>
    </row>
    <row r="465" spans="1:13" x14ac:dyDescent="0.35">
      <c r="A465" t="s">
        <v>811</v>
      </c>
      <c r="B465" t="s">
        <v>812</v>
      </c>
      <c r="C465" t="s">
        <v>91</v>
      </c>
      <c r="D465" s="2">
        <v>202.98</v>
      </c>
      <c r="E465">
        <v>6</v>
      </c>
      <c r="F465">
        <v>0.2</v>
      </c>
      <c r="G465" t="s">
        <v>39</v>
      </c>
      <c r="H465" t="s">
        <v>15</v>
      </c>
      <c r="I465" t="s">
        <v>16</v>
      </c>
      <c r="J465" s="2">
        <f>Table1_1[[#This Row],[Sales]]-Table1_1[[#This Row],[Sales]]*Table1_1[[#This Row],[Discount]]</f>
        <v>162.38399999999999</v>
      </c>
      <c r="K465" s="1">
        <v>45491</v>
      </c>
      <c r="L465" s="11">
        <v>45498</v>
      </c>
      <c r="M465">
        <f>DATEDIF(Table1_1[[#This Row],[Order Date]],Table1_1[[#This Row],[Ship Date]],"D")</f>
        <v>7</v>
      </c>
    </row>
    <row r="466" spans="1:13" x14ac:dyDescent="0.35">
      <c r="A466" t="s">
        <v>813</v>
      </c>
      <c r="B466" t="s">
        <v>41</v>
      </c>
      <c r="C466" t="s">
        <v>240</v>
      </c>
      <c r="D466" s="2">
        <v>4165.5</v>
      </c>
      <c r="E466">
        <v>2</v>
      </c>
      <c r="F466">
        <v>0.3</v>
      </c>
      <c r="G466" t="s">
        <v>39</v>
      </c>
      <c r="H466" t="s">
        <v>21</v>
      </c>
      <c r="I466" t="s">
        <v>43</v>
      </c>
      <c r="J466" s="2">
        <f>Table1_1[[#This Row],[Sales]]-Table1_1[[#This Row],[Sales]]*Table1_1[[#This Row],[Discount]]</f>
        <v>2915.8500000000004</v>
      </c>
      <c r="K466" s="1">
        <v>45229</v>
      </c>
      <c r="L466" s="11">
        <v>45234</v>
      </c>
      <c r="M466">
        <f>DATEDIF(Table1_1[[#This Row],[Order Date]],Table1_1[[#This Row],[Ship Date]],"D")</f>
        <v>5</v>
      </c>
    </row>
    <row r="467" spans="1:13" x14ac:dyDescent="0.35">
      <c r="A467" t="s">
        <v>814</v>
      </c>
      <c r="B467" t="s">
        <v>184</v>
      </c>
      <c r="C467" t="s">
        <v>214</v>
      </c>
      <c r="D467" s="2">
        <v>2878</v>
      </c>
      <c r="E467">
        <v>6</v>
      </c>
      <c r="F467">
        <v>0.1</v>
      </c>
      <c r="G467" t="s">
        <v>39</v>
      </c>
      <c r="H467" t="s">
        <v>15</v>
      </c>
      <c r="I467" t="s">
        <v>43</v>
      </c>
      <c r="J467" s="2">
        <f>Table1_1[[#This Row],[Sales]]-Table1_1[[#This Row],[Sales]]*Table1_1[[#This Row],[Discount]]</f>
        <v>2590.1999999999998</v>
      </c>
      <c r="K467" s="1">
        <v>45527</v>
      </c>
      <c r="L467" s="11">
        <v>45529</v>
      </c>
      <c r="M467">
        <f>DATEDIF(Table1_1[[#This Row],[Order Date]],Table1_1[[#This Row],[Ship Date]],"D")</f>
        <v>2</v>
      </c>
    </row>
    <row r="468" spans="1:13" x14ac:dyDescent="0.35">
      <c r="A468" t="s">
        <v>815</v>
      </c>
      <c r="B468" t="s">
        <v>239</v>
      </c>
      <c r="C468" t="s">
        <v>118</v>
      </c>
      <c r="D468" s="2">
        <v>4195.37</v>
      </c>
      <c r="E468">
        <v>5</v>
      </c>
      <c r="F468">
        <v>0.2</v>
      </c>
      <c r="G468" t="s">
        <v>14</v>
      </c>
      <c r="H468" t="s">
        <v>15</v>
      </c>
      <c r="I468" t="s">
        <v>20</v>
      </c>
      <c r="J468" s="2">
        <f>Table1_1[[#This Row],[Sales]]-Table1_1[[#This Row],[Sales]]*Table1_1[[#This Row],[Discount]]</f>
        <v>3356.2959999999998</v>
      </c>
      <c r="K468" s="1">
        <v>44997</v>
      </c>
      <c r="L468" s="11">
        <v>45003</v>
      </c>
      <c r="M468">
        <f>DATEDIF(Table1_1[[#This Row],[Order Date]],Table1_1[[#This Row],[Ship Date]],"D")</f>
        <v>6</v>
      </c>
    </row>
    <row r="469" spans="1:13" x14ac:dyDescent="0.35">
      <c r="A469" t="s">
        <v>816</v>
      </c>
      <c r="B469" t="s">
        <v>817</v>
      </c>
      <c r="C469" t="s">
        <v>376</v>
      </c>
      <c r="D469" s="2">
        <v>2152.9</v>
      </c>
      <c r="E469">
        <v>2</v>
      </c>
      <c r="F469">
        <v>0.3</v>
      </c>
      <c r="G469" t="s">
        <v>14</v>
      </c>
      <c r="H469" t="s">
        <v>15</v>
      </c>
      <c r="I469" t="s">
        <v>20</v>
      </c>
      <c r="J469" s="2">
        <f>Table1_1[[#This Row],[Sales]]-Table1_1[[#This Row],[Sales]]*Table1_1[[#This Row],[Discount]]</f>
        <v>1507.0300000000002</v>
      </c>
      <c r="K469" s="1">
        <v>45656</v>
      </c>
      <c r="L469" s="11">
        <v>45663</v>
      </c>
      <c r="M469">
        <f>DATEDIF(Table1_1[[#This Row],[Order Date]],Table1_1[[#This Row],[Ship Date]],"D")</f>
        <v>7</v>
      </c>
    </row>
    <row r="470" spans="1:13" x14ac:dyDescent="0.35">
      <c r="A470" t="s">
        <v>818</v>
      </c>
      <c r="B470" t="s">
        <v>84</v>
      </c>
      <c r="C470" t="s">
        <v>157</v>
      </c>
      <c r="D470" s="2">
        <v>2005.4</v>
      </c>
      <c r="E470">
        <v>9</v>
      </c>
      <c r="F470">
        <v>0.2</v>
      </c>
      <c r="G470" t="s">
        <v>14</v>
      </c>
      <c r="H470" t="s">
        <v>15</v>
      </c>
      <c r="I470" t="s">
        <v>20</v>
      </c>
      <c r="J470" s="2">
        <f>Table1_1[[#This Row],[Sales]]-Table1_1[[#This Row],[Sales]]*Table1_1[[#This Row],[Discount]]</f>
        <v>1604.3200000000002</v>
      </c>
      <c r="K470" s="1">
        <v>44948</v>
      </c>
      <c r="L470" s="11">
        <v>44949</v>
      </c>
      <c r="M470">
        <f>DATEDIF(Table1_1[[#This Row],[Order Date]],Table1_1[[#This Row],[Ship Date]],"D")</f>
        <v>1</v>
      </c>
    </row>
    <row r="471" spans="1:13" x14ac:dyDescent="0.35">
      <c r="A471" t="s">
        <v>819</v>
      </c>
      <c r="B471" t="s">
        <v>222</v>
      </c>
      <c r="C471" t="s">
        <v>820</v>
      </c>
      <c r="D471" s="2">
        <v>4616.42</v>
      </c>
      <c r="E471">
        <v>4</v>
      </c>
      <c r="F471">
        <v>0.3</v>
      </c>
      <c r="G471" t="s">
        <v>14</v>
      </c>
      <c r="H471" t="s">
        <v>21</v>
      </c>
      <c r="I471" t="s">
        <v>43</v>
      </c>
      <c r="J471" s="2">
        <f>Table1_1[[#This Row],[Sales]]-Table1_1[[#This Row],[Sales]]*Table1_1[[#This Row],[Discount]]</f>
        <v>3231.4940000000001</v>
      </c>
      <c r="K471" s="1">
        <v>45370</v>
      </c>
      <c r="L471" s="11">
        <v>45372</v>
      </c>
      <c r="M471">
        <f>DATEDIF(Table1_1[[#This Row],[Order Date]],Table1_1[[#This Row],[Ship Date]],"D")</f>
        <v>2</v>
      </c>
    </row>
    <row r="472" spans="1:13" x14ac:dyDescent="0.35">
      <c r="A472" t="s">
        <v>821</v>
      </c>
      <c r="B472" t="s">
        <v>822</v>
      </c>
      <c r="C472" t="s">
        <v>234</v>
      </c>
      <c r="D472" s="2">
        <v>3224.84</v>
      </c>
      <c r="E472">
        <v>5</v>
      </c>
      <c r="F472">
        <v>0.2</v>
      </c>
      <c r="G472" t="s">
        <v>39</v>
      </c>
      <c r="H472" t="s">
        <v>15</v>
      </c>
      <c r="I472" t="s">
        <v>20</v>
      </c>
      <c r="J472" s="2">
        <f>Table1_1[[#This Row],[Sales]]-Table1_1[[#This Row],[Sales]]*Table1_1[[#This Row],[Discount]]</f>
        <v>2579.8720000000003</v>
      </c>
      <c r="K472" s="1">
        <v>45671</v>
      </c>
      <c r="L472" s="11">
        <v>45674</v>
      </c>
      <c r="M472">
        <f>DATEDIF(Table1_1[[#This Row],[Order Date]],Table1_1[[#This Row],[Ship Date]],"D")</f>
        <v>3</v>
      </c>
    </row>
    <row r="473" spans="1:13" x14ac:dyDescent="0.35">
      <c r="A473" t="s">
        <v>823</v>
      </c>
      <c r="B473" t="s">
        <v>156</v>
      </c>
      <c r="C473" t="s">
        <v>542</v>
      </c>
      <c r="D473" s="2">
        <v>4163.3900000000003</v>
      </c>
      <c r="E473">
        <v>1</v>
      </c>
      <c r="F473">
        <v>0.2</v>
      </c>
      <c r="G473" t="s">
        <v>39</v>
      </c>
      <c r="H473" t="s">
        <v>21</v>
      </c>
      <c r="I473" t="s">
        <v>16</v>
      </c>
      <c r="J473" s="2">
        <f>Table1_1[[#This Row],[Sales]]-Table1_1[[#This Row],[Sales]]*Table1_1[[#This Row],[Discount]]</f>
        <v>3330.7120000000004</v>
      </c>
      <c r="K473" s="1">
        <v>45464</v>
      </c>
      <c r="L473" s="11">
        <v>45468</v>
      </c>
      <c r="M473">
        <f>DATEDIF(Table1_1[[#This Row],[Order Date]],Table1_1[[#This Row],[Ship Date]],"D")</f>
        <v>4</v>
      </c>
    </row>
    <row r="474" spans="1:13" x14ac:dyDescent="0.35">
      <c r="A474" t="s">
        <v>824</v>
      </c>
      <c r="B474" t="s">
        <v>603</v>
      </c>
      <c r="C474" t="s">
        <v>511</v>
      </c>
      <c r="D474" s="2">
        <v>945.66</v>
      </c>
      <c r="E474">
        <v>3</v>
      </c>
      <c r="F474">
        <v>0.1</v>
      </c>
      <c r="G474" t="s">
        <v>39</v>
      </c>
      <c r="H474" t="s">
        <v>15</v>
      </c>
      <c r="I474" t="s">
        <v>43</v>
      </c>
      <c r="J474" s="2">
        <f>Table1_1[[#This Row],[Sales]]-Table1_1[[#This Row],[Sales]]*Table1_1[[#This Row],[Discount]]</f>
        <v>851.09399999999994</v>
      </c>
      <c r="K474" s="1">
        <v>45355</v>
      </c>
      <c r="L474" s="11">
        <v>45359</v>
      </c>
      <c r="M474">
        <f>DATEDIF(Table1_1[[#This Row],[Order Date]],Table1_1[[#This Row],[Ship Date]],"D")</f>
        <v>4</v>
      </c>
    </row>
    <row r="475" spans="1:13" x14ac:dyDescent="0.35">
      <c r="A475" t="s">
        <v>825</v>
      </c>
      <c r="B475" t="s">
        <v>328</v>
      </c>
      <c r="C475" t="s">
        <v>128</v>
      </c>
      <c r="D475" s="2">
        <v>3905.14</v>
      </c>
      <c r="E475">
        <v>5</v>
      </c>
      <c r="F475">
        <v>0.1</v>
      </c>
      <c r="G475" t="s">
        <v>19</v>
      </c>
      <c r="H475" t="s">
        <v>15</v>
      </c>
      <c r="I475" t="s">
        <v>43</v>
      </c>
      <c r="J475" s="2">
        <f>Table1_1[[#This Row],[Sales]]-Table1_1[[#This Row],[Sales]]*Table1_1[[#This Row],[Discount]]</f>
        <v>3514.6259999999997</v>
      </c>
      <c r="K475" s="1">
        <v>45636</v>
      </c>
      <c r="L475" s="11">
        <v>45637</v>
      </c>
      <c r="M475">
        <f>DATEDIF(Table1_1[[#This Row],[Order Date]],Table1_1[[#This Row],[Ship Date]],"D")</f>
        <v>1</v>
      </c>
    </row>
    <row r="476" spans="1:13" x14ac:dyDescent="0.35">
      <c r="A476" t="s">
        <v>826</v>
      </c>
      <c r="B476" t="s">
        <v>618</v>
      </c>
      <c r="C476" t="s">
        <v>108</v>
      </c>
      <c r="D476" s="2">
        <v>365.5</v>
      </c>
      <c r="E476">
        <v>8</v>
      </c>
      <c r="F476">
        <v>0</v>
      </c>
      <c r="G476" t="s">
        <v>14</v>
      </c>
      <c r="H476" t="s">
        <v>15</v>
      </c>
      <c r="I476" t="s">
        <v>43</v>
      </c>
      <c r="J476" s="2">
        <f>Table1_1[[#This Row],[Sales]]-Table1_1[[#This Row],[Sales]]*Table1_1[[#This Row],[Discount]]</f>
        <v>365.5</v>
      </c>
      <c r="K476" s="1">
        <v>45643</v>
      </c>
      <c r="L476" s="11">
        <v>45644</v>
      </c>
      <c r="M476">
        <f>DATEDIF(Table1_1[[#This Row],[Order Date]],Table1_1[[#This Row],[Ship Date]],"D")</f>
        <v>1</v>
      </c>
    </row>
    <row r="477" spans="1:13" x14ac:dyDescent="0.35">
      <c r="A477" t="s">
        <v>827</v>
      </c>
      <c r="B477" t="s">
        <v>394</v>
      </c>
      <c r="C477" t="s">
        <v>243</v>
      </c>
      <c r="D477" s="2">
        <v>826.57</v>
      </c>
      <c r="E477">
        <v>7</v>
      </c>
      <c r="F477">
        <v>0.1</v>
      </c>
      <c r="G477" t="s">
        <v>19</v>
      </c>
      <c r="H477" t="s">
        <v>15</v>
      </c>
      <c r="I477" t="s">
        <v>20</v>
      </c>
      <c r="J477" s="2">
        <f>Table1_1[[#This Row],[Sales]]-Table1_1[[#This Row],[Sales]]*Table1_1[[#This Row],[Discount]]</f>
        <v>743.91300000000001</v>
      </c>
      <c r="K477" s="1">
        <v>45654</v>
      </c>
      <c r="L477" s="11">
        <v>45657</v>
      </c>
      <c r="M477">
        <f>DATEDIF(Table1_1[[#This Row],[Order Date]],Table1_1[[#This Row],[Ship Date]],"D")</f>
        <v>3</v>
      </c>
    </row>
    <row r="478" spans="1:13" x14ac:dyDescent="0.35">
      <c r="A478" t="s">
        <v>828</v>
      </c>
      <c r="B478" t="s">
        <v>455</v>
      </c>
      <c r="C478" t="s">
        <v>197</v>
      </c>
      <c r="D478" s="2">
        <v>1126.0899999999999</v>
      </c>
      <c r="E478">
        <v>10</v>
      </c>
      <c r="F478">
        <v>0.2</v>
      </c>
      <c r="G478" t="s">
        <v>14</v>
      </c>
      <c r="H478" t="s">
        <v>15</v>
      </c>
      <c r="I478" t="s">
        <v>20</v>
      </c>
      <c r="J478" s="2">
        <f>Table1_1[[#This Row],[Sales]]-Table1_1[[#This Row],[Sales]]*Table1_1[[#This Row],[Discount]]</f>
        <v>900.87199999999996</v>
      </c>
      <c r="K478" s="1">
        <v>44951</v>
      </c>
      <c r="L478" s="11">
        <v>44953</v>
      </c>
      <c r="M478">
        <f>DATEDIF(Table1_1[[#This Row],[Order Date]],Table1_1[[#This Row],[Ship Date]],"D")</f>
        <v>2</v>
      </c>
    </row>
    <row r="479" spans="1:13" x14ac:dyDescent="0.35">
      <c r="A479" t="s">
        <v>829</v>
      </c>
      <c r="B479" t="s">
        <v>86</v>
      </c>
      <c r="C479" t="s">
        <v>146</v>
      </c>
      <c r="D479" s="2">
        <v>1051.68</v>
      </c>
      <c r="E479">
        <v>1</v>
      </c>
      <c r="F479">
        <v>0</v>
      </c>
      <c r="G479" t="s">
        <v>39</v>
      </c>
      <c r="H479" t="s">
        <v>21</v>
      </c>
      <c r="I479" t="s">
        <v>16</v>
      </c>
      <c r="J479" s="2">
        <f>Table1_1[[#This Row],[Sales]]-Table1_1[[#This Row],[Sales]]*Table1_1[[#This Row],[Discount]]</f>
        <v>1051.68</v>
      </c>
      <c r="K479" s="1">
        <v>45167</v>
      </c>
      <c r="L479" s="11">
        <v>45171</v>
      </c>
      <c r="M479">
        <f>DATEDIF(Table1_1[[#This Row],[Order Date]],Table1_1[[#This Row],[Ship Date]],"D")</f>
        <v>4</v>
      </c>
    </row>
    <row r="480" spans="1:13" x14ac:dyDescent="0.35">
      <c r="A480" t="s">
        <v>830</v>
      </c>
      <c r="B480" t="s">
        <v>514</v>
      </c>
      <c r="C480" t="s">
        <v>73</v>
      </c>
      <c r="D480" s="2">
        <v>1909.71</v>
      </c>
      <c r="E480">
        <v>5</v>
      </c>
      <c r="F480">
        <v>0.1</v>
      </c>
      <c r="G480" t="s">
        <v>14</v>
      </c>
      <c r="H480" t="s">
        <v>15</v>
      </c>
      <c r="I480" t="s">
        <v>43</v>
      </c>
      <c r="J480" s="2">
        <f>Table1_1[[#This Row],[Sales]]-Table1_1[[#This Row],[Sales]]*Table1_1[[#This Row],[Discount]]</f>
        <v>1718.739</v>
      </c>
      <c r="K480" s="1">
        <v>45085</v>
      </c>
      <c r="L480" s="11">
        <v>45087</v>
      </c>
      <c r="M480">
        <f>DATEDIF(Table1_1[[#This Row],[Order Date]],Table1_1[[#This Row],[Ship Date]],"D")</f>
        <v>2</v>
      </c>
    </row>
    <row r="481" spans="1:13" x14ac:dyDescent="0.35">
      <c r="A481" t="s">
        <v>831</v>
      </c>
      <c r="B481" t="s">
        <v>832</v>
      </c>
      <c r="C481" t="s">
        <v>46</v>
      </c>
      <c r="D481" s="2">
        <v>1624.59</v>
      </c>
      <c r="E481">
        <v>1</v>
      </c>
      <c r="F481">
        <v>0</v>
      </c>
      <c r="G481" t="s">
        <v>19</v>
      </c>
      <c r="H481" t="s">
        <v>21</v>
      </c>
      <c r="I481" t="s">
        <v>43</v>
      </c>
      <c r="J481" s="2">
        <f>Table1_1[[#This Row],[Sales]]-Table1_1[[#This Row],[Sales]]*Table1_1[[#This Row],[Discount]]</f>
        <v>1624.59</v>
      </c>
      <c r="K481" s="1">
        <v>45473</v>
      </c>
      <c r="L481" s="11">
        <v>45477</v>
      </c>
      <c r="M481">
        <f>DATEDIF(Table1_1[[#This Row],[Order Date]],Table1_1[[#This Row],[Ship Date]],"D")</f>
        <v>4</v>
      </c>
    </row>
    <row r="482" spans="1:13" x14ac:dyDescent="0.35">
      <c r="A482" t="s">
        <v>833</v>
      </c>
      <c r="B482" t="s">
        <v>351</v>
      </c>
      <c r="C482" t="s">
        <v>175</v>
      </c>
      <c r="D482" s="2">
        <v>1128.6300000000001</v>
      </c>
      <c r="E482">
        <v>1</v>
      </c>
      <c r="F482">
        <v>0</v>
      </c>
      <c r="G482" t="s">
        <v>39</v>
      </c>
      <c r="H482" t="s">
        <v>21</v>
      </c>
      <c r="I482" t="s">
        <v>43</v>
      </c>
      <c r="J482" s="2">
        <f>Table1_1[[#This Row],[Sales]]-Table1_1[[#This Row],[Sales]]*Table1_1[[#This Row],[Discount]]</f>
        <v>1128.6300000000001</v>
      </c>
      <c r="K482" s="1">
        <v>45189</v>
      </c>
      <c r="L482" s="11">
        <v>45190</v>
      </c>
      <c r="M482">
        <f>DATEDIF(Table1_1[[#This Row],[Order Date]],Table1_1[[#This Row],[Ship Date]],"D")</f>
        <v>1</v>
      </c>
    </row>
    <row r="483" spans="1:13" x14ac:dyDescent="0.35">
      <c r="A483" t="s">
        <v>834</v>
      </c>
      <c r="B483" t="s">
        <v>835</v>
      </c>
      <c r="C483" t="s">
        <v>175</v>
      </c>
      <c r="D483" s="2">
        <v>547.03</v>
      </c>
      <c r="E483">
        <v>8</v>
      </c>
      <c r="F483">
        <v>0.2</v>
      </c>
      <c r="G483" t="s">
        <v>19</v>
      </c>
      <c r="H483" t="s">
        <v>21</v>
      </c>
      <c r="I483" t="s">
        <v>20</v>
      </c>
      <c r="J483" s="2">
        <f>Table1_1[[#This Row],[Sales]]-Table1_1[[#This Row],[Sales]]*Table1_1[[#This Row],[Discount]]</f>
        <v>437.62399999999997</v>
      </c>
      <c r="K483" s="1">
        <v>45170</v>
      </c>
      <c r="L483" s="11">
        <v>45172</v>
      </c>
      <c r="M483">
        <f>DATEDIF(Table1_1[[#This Row],[Order Date]],Table1_1[[#This Row],[Ship Date]],"D")</f>
        <v>2</v>
      </c>
    </row>
    <row r="484" spans="1:13" x14ac:dyDescent="0.35">
      <c r="A484" t="s">
        <v>836</v>
      </c>
      <c r="B484" t="s">
        <v>48</v>
      </c>
      <c r="C484" t="s">
        <v>94</v>
      </c>
      <c r="D484" s="2">
        <v>4007.48</v>
      </c>
      <c r="E484">
        <v>9</v>
      </c>
      <c r="F484">
        <v>0.2</v>
      </c>
      <c r="G484" t="s">
        <v>14</v>
      </c>
      <c r="H484" t="s">
        <v>21</v>
      </c>
      <c r="I484" t="s">
        <v>20</v>
      </c>
      <c r="J484" s="2">
        <f>Table1_1[[#This Row],[Sales]]-Table1_1[[#This Row],[Sales]]*Table1_1[[#This Row],[Discount]]</f>
        <v>3205.9839999999999</v>
      </c>
      <c r="K484" s="1">
        <v>45313</v>
      </c>
      <c r="L484" s="11">
        <v>45316</v>
      </c>
      <c r="M484">
        <f>DATEDIF(Table1_1[[#This Row],[Order Date]],Table1_1[[#This Row],[Ship Date]],"D")</f>
        <v>3</v>
      </c>
    </row>
    <row r="485" spans="1:13" x14ac:dyDescent="0.35">
      <c r="A485" t="s">
        <v>837</v>
      </c>
      <c r="B485" t="s">
        <v>48</v>
      </c>
      <c r="C485" t="s">
        <v>211</v>
      </c>
      <c r="D485" s="2">
        <v>4210.96</v>
      </c>
      <c r="E485">
        <v>4</v>
      </c>
      <c r="F485">
        <v>0.2</v>
      </c>
      <c r="G485" t="s">
        <v>14</v>
      </c>
      <c r="H485" t="s">
        <v>15</v>
      </c>
      <c r="I485" t="s">
        <v>20</v>
      </c>
      <c r="J485" s="2">
        <f>Table1_1[[#This Row],[Sales]]-Table1_1[[#This Row],[Sales]]*Table1_1[[#This Row],[Discount]]</f>
        <v>3368.768</v>
      </c>
      <c r="K485" s="1">
        <v>45545</v>
      </c>
      <c r="L485" s="11">
        <v>45551</v>
      </c>
      <c r="M485">
        <f>DATEDIF(Table1_1[[#This Row],[Order Date]],Table1_1[[#This Row],[Ship Date]],"D")</f>
        <v>6</v>
      </c>
    </row>
    <row r="486" spans="1:13" x14ac:dyDescent="0.35">
      <c r="A486" t="s">
        <v>838</v>
      </c>
      <c r="B486" t="s">
        <v>145</v>
      </c>
      <c r="C486" t="s">
        <v>105</v>
      </c>
      <c r="D486" s="2">
        <v>4547.96</v>
      </c>
      <c r="E486">
        <v>4</v>
      </c>
      <c r="F486">
        <v>0.1</v>
      </c>
      <c r="G486" t="s">
        <v>19</v>
      </c>
      <c r="H486" t="s">
        <v>15</v>
      </c>
      <c r="I486" t="s">
        <v>16</v>
      </c>
      <c r="J486" s="2">
        <f>Table1_1[[#This Row],[Sales]]-Table1_1[[#This Row],[Sales]]*Table1_1[[#This Row],[Discount]]</f>
        <v>4093.1639999999998</v>
      </c>
      <c r="K486" s="1">
        <v>45060</v>
      </c>
      <c r="L486" s="11">
        <v>45066</v>
      </c>
      <c r="M486">
        <f>DATEDIF(Table1_1[[#This Row],[Order Date]],Table1_1[[#This Row],[Ship Date]],"D")</f>
        <v>6</v>
      </c>
    </row>
    <row r="487" spans="1:13" x14ac:dyDescent="0.35">
      <c r="A487" t="s">
        <v>839</v>
      </c>
      <c r="B487" t="s">
        <v>840</v>
      </c>
      <c r="C487" t="s">
        <v>329</v>
      </c>
      <c r="D487" s="2">
        <v>1410.72</v>
      </c>
      <c r="E487">
        <v>4</v>
      </c>
      <c r="F487">
        <v>0.3</v>
      </c>
      <c r="G487" t="s">
        <v>39</v>
      </c>
      <c r="H487" t="s">
        <v>21</v>
      </c>
      <c r="I487" t="s">
        <v>43</v>
      </c>
      <c r="J487" s="2">
        <f>Table1_1[[#This Row],[Sales]]-Table1_1[[#This Row],[Sales]]*Table1_1[[#This Row],[Discount]]</f>
        <v>987.50400000000002</v>
      </c>
      <c r="K487" s="1">
        <v>45588</v>
      </c>
      <c r="L487" s="11">
        <v>45592</v>
      </c>
      <c r="M487">
        <f>DATEDIF(Table1_1[[#This Row],[Order Date]],Table1_1[[#This Row],[Ship Date]],"D")</f>
        <v>4</v>
      </c>
    </row>
    <row r="488" spans="1:13" x14ac:dyDescent="0.35">
      <c r="A488" t="s">
        <v>841</v>
      </c>
      <c r="B488" t="s">
        <v>842</v>
      </c>
      <c r="C488" t="s">
        <v>281</v>
      </c>
      <c r="D488" s="2">
        <v>2306.21</v>
      </c>
      <c r="E488">
        <v>3</v>
      </c>
      <c r="F488">
        <v>0.2</v>
      </c>
      <c r="G488" t="s">
        <v>14</v>
      </c>
      <c r="H488" t="s">
        <v>21</v>
      </c>
      <c r="I488" t="s">
        <v>16</v>
      </c>
      <c r="J488" s="2">
        <f>Table1_1[[#This Row],[Sales]]-Table1_1[[#This Row],[Sales]]*Table1_1[[#This Row],[Discount]]</f>
        <v>1844.9680000000001</v>
      </c>
      <c r="K488" s="1">
        <v>45226</v>
      </c>
      <c r="L488" s="11">
        <v>45230</v>
      </c>
      <c r="M488">
        <f>DATEDIF(Table1_1[[#This Row],[Order Date]],Table1_1[[#This Row],[Ship Date]],"D")</f>
        <v>4</v>
      </c>
    </row>
    <row r="489" spans="1:13" x14ac:dyDescent="0.35">
      <c r="A489" t="s">
        <v>843</v>
      </c>
      <c r="B489" t="s">
        <v>477</v>
      </c>
      <c r="C489" t="s">
        <v>91</v>
      </c>
      <c r="D489" s="2">
        <v>1189.31</v>
      </c>
      <c r="E489">
        <v>2</v>
      </c>
      <c r="F489">
        <v>0</v>
      </c>
      <c r="G489" t="s">
        <v>39</v>
      </c>
      <c r="H489" t="s">
        <v>21</v>
      </c>
      <c r="I489" t="s">
        <v>20</v>
      </c>
      <c r="J489" s="2">
        <f>Table1_1[[#This Row],[Sales]]-Table1_1[[#This Row],[Sales]]*Table1_1[[#This Row],[Discount]]</f>
        <v>1189.31</v>
      </c>
      <c r="K489" s="1">
        <v>45480</v>
      </c>
      <c r="L489" s="11">
        <v>45487</v>
      </c>
      <c r="M489">
        <f>DATEDIF(Table1_1[[#This Row],[Order Date]],Table1_1[[#This Row],[Ship Date]],"D")</f>
        <v>7</v>
      </c>
    </row>
    <row r="490" spans="1:13" x14ac:dyDescent="0.35">
      <c r="A490" t="s">
        <v>844</v>
      </c>
      <c r="B490" t="s">
        <v>67</v>
      </c>
      <c r="C490" t="s">
        <v>113</v>
      </c>
      <c r="D490" s="2">
        <v>3792.64</v>
      </c>
      <c r="E490">
        <v>2</v>
      </c>
      <c r="F490">
        <v>0.3</v>
      </c>
      <c r="G490" t="s">
        <v>19</v>
      </c>
      <c r="H490" t="s">
        <v>15</v>
      </c>
      <c r="I490" t="s">
        <v>16</v>
      </c>
      <c r="J490" s="2">
        <f>Table1_1[[#This Row],[Sales]]-Table1_1[[#This Row],[Sales]]*Table1_1[[#This Row],[Discount]]</f>
        <v>2654.848</v>
      </c>
      <c r="K490" s="1">
        <v>45491</v>
      </c>
      <c r="L490" s="11">
        <v>45497</v>
      </c>
      <c r="M490">
        <f>DATEDIF(Table1_1[[#This Row],[Order Date]],Table1_1[[#This Row],[Ship Date]],"D")</f>
        <v>6</v>
      </c>
    </row>
    <row r="491" spans="1:13" x14ac:dyDescent="0.35">
      <c r="A491" t="s">
        <v>845</v>
      </c>
      <c r="B491" t="s">
        <v>846</v>
      </c>
      <c r="C491" t="s">
        <v>376</v>
      </c>
      <c r="D491" s="2">
        <v>1881.03</v>
      </c>
      <c r="E491">
        <v>5</v>
      </c>
      <c r="F491">
        <v>0.2</v>
      </c>
      <c r="G491" t="s">
        <v>39</v>
      </c>
      <c r="H491" t="s">
        <v>15</v>
      </c>
      <c r="I491" t="s">
        <v>43</v>
      </c>
      <c r="J491" s="2">
        <f>Table1_1[[#This Row],[Sales]]-Table1_1[[#This Row],[Sales]]*Table1_1[[#This Row],[Discount]]</f>
        <v>1504.8240000000001</v>
      </c>
      <c r="K491" s="1">
        <v>45259</v>
      </c>
      <c r="L491" s="11">
        <v>45262</v>
      </c>
      <c r="M491">
        <f>DATEDIF(Table1_1[[#This Row],[Order Date]],Table1_1[[#This Row],[Ship Date]],"D")</f>
        <v>3</v>
      </c>
    </row>
    <row r="492" spans="1:13" x14ac:dyDescent="0.35">
      <c r="A492" t="s">
        <v>847</v>
      </c>
      <c r="B492" t="s">
        <v>508</v>
      </c>
      <c r="C492" t="s">
        <v>254</v>
      </c>
      <c r="D492" s="2">
        <v>4639.1899999999996</v>
      </c>
      <c r="E492">
        <v>10</v>
      </c>
      <c r="F492">
        <v>0.3</v>
      </c>
      <c r="G492" t="s">
        <v>14</v>
      </c>
      <c r="H492" t="s">
        <v>15</v>
      </c>
      <c r="I492" t="s">
        <v>16</v>
      </c>
      <c r="J492" s="2">
        <f>Table1_1[[#This Row],[Sales]]-Table1_1[[#This Row],[Sales]]*Table1_1[[#This Row],[Discount]]</f>
        <v>3247.433</v>
      </c>
      <c r="K492" s="1">
        <v>45374</v>
      </c>
      <c r="L492" s="11">
        <v>45377</v>
      </c>
      <c r="M492">
        <f>DATEDIF(Table1_1[[#This Row],[Order Date]],Table1_1[[#This Row],[Ship Date]],"D")</f>
        <v>3</v>
      </c>
    </row>
    <row r="493" spans="1:13" x14ac:dyDescent="0.35">
      <c r="A493" t="s">
        <v>848</v>
      </c>
      <c r="B493" t="s">
        <v>110</v>
      </c>
      <c r="C493" t="s">
        <v>542</v>
      </c>
      <c r="D493" s="2">
        <v>3115.21</v>
      </c>
      <c r="E493">
        <v>6</v>
      </c>
      <c r="F493">
        <v>0.3</v>
      </c>
      <c r="G493" t="s">
        <v>14</v>
      </c>
      <c r="H493" t="s">
        <v>21</v>
      </c>
      <c r="I493" t="s">
        <v>20</v>
      </c>
      <c r="J493" s="2">
        <f>Table1_1[[#This Row],[Sales]]-Table1_1[[#This Row],[Sales]]*Table1_1[[#This Row],[Discount]]</f>
        <v>2180.6469999999999</v>
      </c>
      <c r="K493" s="1">
        <v>45476</v>
      </c>
      <c r="L493" s="11">
        <v>45482</v>
      </c>
      <c r="M493">
        <f>DATEDIF(Table1_1[[#This Row],[Order Date]],Table1_1[[#This Row],[Ship Date]],"D")</f>
        <v>6</v>
      </c>
    </row>
    <row r="494" spans="1:13" x14ac:dyDescent="0.35">
      <c r="A494" t="s">
        <v>849</v>
      </c>
      <c r="B494" t="s">
        <v>256</v>
      </c>
      <c r="C494" t="s">
        <v>152</v>
      </c>
      <c r="D494" s="2">
        <v>2103.08</v>
      </c>
      <c r="E494">
        <v>6</v>
      </c>
      <c r="F494">
        <v>0.1</v>
      </c>
      <c r="G494" t="s">
        <v>19</v>
      </c>
      <c r="H494" t="s">
        <v>21</v>
      </c>
      <c r="I494" t="s">
        <v>43</v>
      </c>
      <c r="J494" s="2">
        <f>Table1_1[[#This Row],[Sales]]-Table1_1[[#This Row],[Sales]]*Table1_1[[#This Row],[Discount]]</f>
        <v>1892.7719999999999</v>
      </c>
      <c r="K494" s="1">
        <v>45239</v>
      </c>
      <c r="L494" s="11">
        <v>45244</v>
      </c>
      <c r="M494">
        <f>DATEDIF(Table1_1[[#This Row],[Order Date]],Table1_1[[#This Row],[Ship Date]],"D")</f>
        <v>5</v>
      </c>
    </row>
    <row r="495" spans="1:13" x14ac:dyDescent="0.35">
      <c r="A495" t="s">
        <v>850</v>
      </c>
      <c r="B495" t="s">
        <v>718</v>
      </c>
      <c r="C495" t="s">
        <v>178</v>
      </c>
      <c r="D495" s="2">
        <v>2897.92</v>
      </c>
      <c r="E495">
        <v>9</v>
      </c>
      <c r="F495">
        <v>0</v>
      </c>
      <c r="G495" t="s">
        <v>19</v>
      </c>
      <c r="H495" t="s">
        <v>21</v>
      </c>
      <c r="I495" t="s">
        <v>43</v>
      </c>
      <c r="J495" s="2">
        <f>Table1_1[[#This Row],[Sales]]-Table1_1[[#This Row],[Sales]]*Table1_1[[#This Row],[Discount]]</f>
        <v>2897.92</v>
      </c>
      <c r="K495" s="1">
        <v>45085</v>
      </c>
      <c r="L495" s="11">
        <v>45092</v>
      </c>
      <c r="M495">
        <f>DATEDIF(Table1_1[[#This Row],[Order Date]],Table1_1[[#This Row],[Ship Date]],"D")</f>
        <v>7</v>
      </c>
    </row>
    <row r="496" spans="1:13" x14ac:dyDescent="0.35">
      <c r="A496" t="s">
        <v>851</v>
      </c>
      <c r="B496" t="s">
        <v>852</v>
      </c>
      <c r="C496" t="s">
        <v>46</v>
      </c>
      <c r="D496" s="2">
        <v>2766.35</v>
      </c>
      <c r="E496">
        <v>4</v>
      </c>
      <c r="F496">
        <v>0</v>
      </c>
      <c r="G496" t="s">
        <v>19</v>
      </c>
      <c r="H496" t="s">
        <v>15</v>
      </c>
      <c r="I496" t="s">
        <v>20</v>
      </c>
      <c r="J496" s="2">
        <f>Table1_1[[#This Row],[Sales]]-Table1_1[[#This Row],[Sales]]*Table1_1[[#This Row],[Discount]]</f>
        <v>2766.35</v>
      </c>
      <c r="K496" s="1">
        <v>45030</v>
      </c>
      <c r="L496" s="11">
        <v>45034</v>
      </c>
      <c r="M496">
        <f>DATEDIF(Table1_1[[#This Row],[Order Date]],Table1_1[[#This Row],[Ship Date]],"D")</f>
        <v>4</v>
      </c>
    </row>
    <row r="497" spans="1:13" x14ac:dyDescent="0.35">
      <c r="A497" t="s">
        <v>853</v>
      </c>
      <c r="B497" t="s">
        <v>171</v>
      </c>
      <c r="C497" t="s">
        <v>31</v>
      </c>
      <c r="D497" s="2">
        <v>1490.71</v>
      </c>
      <c r="E497">
        <v>3</v>
      </c>
      <c r="F497">
        <v>0.2</v>
      </c>
      <c r="G497" t="s">
        <v>19</v>
      </c>
      <c r="H497" t="s">
        <v>21</v>
      </c>
      <c r="I497" t="s">
        <v>20</v>
      </c>
      <c r="J497" s="2">
        <f>Table1_1[[#This Row],[Sales]]-Table1_1[[#This Row],[Sales]]*Table1_1[[#This Row],[Discount]]</f>
        <v>1192.568</v>
      </c>
      <c r="K497" s="1">
        <v>45753</v>
      </c>
      <c r="L497" s="11">
        <v>45758</v>
      </c>
      <c r="M497">
        <f>DATEDIF(Table1_1[[#This Row],[Order Date]],Table1_1[[#This Row],[Ship Date]],"D")</f>
        <v>5</v>
      </c>
    </row>
    <row r="498" spans="1:13" x14ac:dyDescent="0.35">
      <c r="A498" t="s">
        <v>854</v>
      </c>
      <c r="B498" t="s">
        <v>855</v>
      </c>
      <c r="C498" t="s">
        <v>60</v>
      </c>
      <c r="D498" s="2">
        <v>3003.07</v>
      </c>
      <c r="E498">
        <v>9</v>
      </c>
      <c r="F498">
        <v>0.2</v>
      </c>
      <c r="G498" t="s">
        <v>14</v>
      </c>
      <c r="H498" t="s">
        <v>15</v>
      </c>
      <c r="I498" t="s">
        <v>20</v>
      </c>
      <c r="J498" s="2">
        <f>Table1_1[[#This Row],[Sales]]-Table1_1[[#This Row],[Sales]]*Table1_1[[#This Row],[Discount]]</f>
        <v>2402.4560000000001</v>
      </c>
      <c r="K498" s="1">
        <v>45733</v>
      </c>
      <c r="L498" s="11">
        <v>45738</v>
      </c>
      <c r="M498">
        <f>DATEDIF(Table1_1[[#This Row],[Order Date]],Table1_1[[#This Row],[Ship Date]],"D")</f>
        <v>5</v>
      </c>
    </row>
    <row r="499" spans="1:13" x14ac:dyDescent="0.35">
      <c r="A499" t="s">
        <v>856</v>
      </c>
      <c r="B499" t="s">
        <v>621</v>
      </c>
      <c r="C499" t="s">
        <v>220</v>
      </c>
      <c r="D499" s="2">
        <v>4454.21</v>
      </c>
      <c r="E499">
        <v>8</v>
      </c>
      <c r="F499">
        <v>0.1</v>
      </c>
      <c r="G499" t="s">
        <v>14</v>
      </c>
      <c r="H499" t="s">
        <v>15</v>
      </c>
      <c r="I499" t="s">
        <v>43</v>
      </c>
      <c r="J499" s="2">
        <f>Table1_1[[#This Row],[Sales]]-Table1_1[[#This Row],[Sales]]*Table1_1[[#This Row],[Discount]]</f>
        <v>4008.7889999999998</v>
      </c>
      <c r="K499" s="1">
        <v>45478</v>
      </c>
      <c r="L499" s="11">
        <v>45481</v>
      </c>
      <c r="M499">
        <f>DATEDIF(Table1_1[[#This Row],[Order Date]],Table1_1[[#This Row],[Ship Date]],"D")</f>
        <v>3</v>
      </c>
    </row>
    <row r="500" spans="1:13" x14ac:dyDescent="0.35">
      <c r="A500" t="s">
        <v>857</v>
      </c>
      <c r="B500" t="s">
        <v>380</v>
      </c>
      <c r="C500" t="s">
        <v>128</v>
      </c>
      <c r="D500" s="2">
        <v>1897.94</v>
      </c>
      <c r="E500">
        <v>8</v>
      </c>
      <c r="F500">
        <v>0.1</v>
      </c>
      <c r="G500" t="s">
        <v>14</v>
      </c>
      <c r="H500" t="s">
        <v>15</v>
      </c>
      <c r="I500" t="s">
        <v>20</v>
      </c>
      <c r="J500" s="2">
        <f>Table1_1[[#This Row],[Sales]]-Table1_1[[#This Row],[Sales]]*Table1_1[[#This Row],[Discount]]</f>
        <v>1708.146</v>
      </c>
      <c r="K500" s="1">
        <v>45077</v>
      </c>
      <c r="L500" s="11">
        <v>45080</v>
      </c>
      <c r="M500">
        <f>DATEDIF(Table1_1[[#This Row],[Order Date]],Table1_1[[#This Row],[Ship Date]],"D")</f>
        <v>3</v>
      </c>
    </row>
    <row r="501" spans="1:13" x14ac:dyDescent="0.35">
      <c r="A501" t="s">
        <v>858</v>
      </c>
      <c r="B501" t="s">
        <v>643</v>
      </c>
      <c r="C501" t="s">
        <v>185</v>
      </c>
      <c r="D501" s="2">
        <v>771.64</v>
      </c>
      <c r="E501">
        <v>4</v>
      </c>
      <c r="F501">
        <v>0.3</v>
      </c>
      <c r="G501" t="s">
        <v>14</v>
      </c>
      <c r="H501" t="s">
        <v>15</v>
      </c>
      <c r="I501" t="s">
        <v>43</v>
      </c>
      <c r="J501" s="2">
        <f>Table1_1[[#This Row],[Sales]]-Table1_1[[#This Row],[Sales]]*Table1_1[[#This Row],[Discount]]</f>
        <v>540.14800000000002</v>
      </c>
      <c r="K501" s="1">
        <v>45561</v>
      </c>
      <c r="L501" s="11">
        <v>45567</v>
      </c>
      <c r="M501">
        <f>DATEDIF(Table1_1[[#This Row],[Order Date]],Table1_1[[#This Row],[Ship Date]],"D")</f>
        <v>6</v>
      </c>
    </row>
    <row r="502" spans="1:13" x14ac:dyDescent="0.35">
      <c r="A502" t="s">
        <v>859</v>
      </c>
      <c r="B502" t="s">
        <v>203</v>
      </c>
      <c r="C502" t="s">
        <v>443</v>
      </c>
      <c r="D502" s="2">
        <v>4816.76</v>
      </c>
      <c r="E502">
        <v>8</v>
      </c>
      <c r="F502">
        <v>0.2</v>
      </c>
      <c r="G502" t="s">
        <v>14</v>
      </c>
      <c r="H502" t="s">
        <v>21</v>
      </c>
      <c r="I502" t="s">
        <v>43</v>
      </c>
      <c r="J502" s="2">
        <f>Table1_1[[#This Row],[Sales]]-Table1_1[[#This Row],[Sales]]*Table1_1[[#This Row],[Discount]]</f>
        <v>3853.4080000000004</v>
      </c>
      <c r="K502" s="1">
        <v>45395</v>
      </c>
      <c r="L502" s="11">
        <v>45398</v>
      </c>
      <c r="M502">
        <f>DATEDIF(Table1_1[[#This Row],[Order Date]],Table1_1[[#This Row],[Ship Date]],"D")</f>
        <v>3</v>
      </c>
    </row>
    <row r="503" spans="1:13" x14ac:dyDescent="0.35">
      <c r="A503" t="s">
        <v>860</v>
      </c>
      <c r="B503" t="s">
        <v>76</v>
      </c>
      <c r="C503" t="s">
        <v>113</v>
      </c>
      <c r="D503" s="2">
        <v>1951.21</v>
      </c>
      <c r="E503">
        <v>2</v>
      </c>
      <c r="F503">
        <v>0</v>
      </c>
      <c r="G503" t="s">
        <v>19</v>
      </c>
      <c r="H503" t="s">
        <v>21</v>
      </c>
      <c r="I503" t="s">
        <v>43</v>
      </c>
      <c r="J503" s="2">
        <f>Table1_1[[#This Row],[Sales]]-Table1_1[[#This Row],[Sales]]*Table1_1[[#This Row],[Discount]]</f>
        <v>1951.21</v>
      </c>
      <c r="K503" s="1">
        <v>45045</v>
      </c>
      <c r="L503" s="11">
        <v>45046</v>
      </c>
      <c r="M503">
        <f>DATEDIF(Table1_1[[#This Row],[Order Date]],Table1_1[[#This Row],[Ship Date]],"D")</f>
        <v>1</v>
      </c>
    </row>
    <row r="504" spans="1:13" x14ac:dyDescent="0.35">
      <c r="A504" t="s">
        <v>861</v>
      </c>
      <c r="B504" t="s">
        <v>374</v>
      </c>
      <c r="C504" t="s">
        <v>91</v>
      </c>
      <c r="D504" s="2">
        <v>1950.9</v>
      </c>
      <c r="E504">
        <v>8</v>
      </c>
      <c r="F504">
        <v>0.1</v>
      </c>
      <c r="G504" t="s">
        <v>39</v>
      </c>
      <c r="H504" t="s">
        <v>21</v>
      </c>
      <c r="I504" t="s">
        <v>43</v>
      </c>
      <c r="J504" s="2">
        <f>Table1_1[[#This Row],[Sales]]-Table1_1[[#This Row],[Sales]]*Table1_1[[#This Row],[Discount]]</f>
        <v>1755.81</v>
      </c>
      <c r="K504" s="1">
        <v>45099</v>
      </c>
      <c r="L504" s="11">
        <v>45101</v>
      </c>
      <c r="M504">
        <f>DATEDIF(Table1_1[[#This Row],[Order Date]],Table1_1[[#This Row],[Ship Date]],"D")</f>
        <v>2</v>
      </c>
    </row>
    <row r="505" spans="1:13" x14ac:dyDescent="0.35">
      <c r="A505" t="s">
        <v>862</v>
      </c>
      <c r="B505" t="s">
        <v>347</v>
      </c>
      <c r="C505" t="s">
        <v>565</v>
      </c>
      <c r="D505" s="2">
        <v>4856.87</v>
      </c>
      <c r="E505">
        <v>7</v>
      </c>
      <c r="F505">
        <v>0</v>
      </c>
      <c r="G505" t="s">
        <v>14</v>
      </c>
      <c r="H505" t="s">
        <v>15</v>
      </c>
      <c r="I505" t="s">
        <v>20</v>
      </c>
      <c r="J505" s="2">
        <f>Table1_1[[#This Row],[Sales]]-Table1_1[[#This Row],[Sales]]*Table1_1[[#This Row],[Discount]]</f>
        <v>4856.87</v>
      </c>
      <c r="K505" s="1">
        <v>44957</v>
      </c>
      <c r="L505" s="11">
        <v>44958</v>
      </c>
      <c r="M505">
        <f>DATEDIF(Table1_1[[#This Row],[Order Date]],Table1_1[[#This Row],[Ship Date]],"D")</f>
        <v>1</v>
      </c>
    </row>
    <row r="506" spans="1:13" x14ac:dyDescent="0.35">
      <c r="A506" t="s">
        <v>863</v>
      </c>
      <c r="B506" t="s">
        <v>817</v>
      </c>
      <c r="C506" t="s">
        <v>169</v>
      </c>
      <c r="D506" s="2">
        <v>4433.3999999999996</v>
      </c>
      <c r="E506">
        <v>8</v>
      </c>
      <c r="F506">
        <v>0.3</v>
      </c>
      <c r="G506" t="s">
        <v>14</v>
      </c>
      <c r="H506" t="s">
        <v>21</v>
      </c>
      <c r="I506" t="s">
        <v>20</v>
      </c>
      <c r="J506" s="2">
        <f>Table1_1[[#This Row],[Sales]]-Table1_1[[#This Row],[Sales]]*Table1_1[[#This Row],[Discount]]</f>
        <v>3103.38</v>
      </c>
      <c r="K506" s="1">
        <v>45260</v>
      </c>
      <c r="L506" s="11">
        <v>45263</v>
      </c>
      <c r="M506">
        <f>DATEDIF(Table1_1[[#This Row],[Order Date]],Table1_1[[#This Row],[Ship Date]],"D")</f>
        <v>3</v>
      </c>
    </row>
    <row r="507" spans="1:13" x14ac:dyDescent="0.35">
      <c r="A507" t="s">
        <v>864</v>
      </c>
      <c r="B507" t="s">
        <v>495</v>
      </c>
      <c r="C507" t="s">
        <v>231</v>
      </c>
      <c r="D507" s="2">
        <v>4831.22</v>
      </c>
      <c r="E507">
        <v>2</v>
      </c>
      <c r="F507">
        <v>0.2</v>
      </c>
      <c r="G507" t="s">
        <v>39</v>
      </c>
      <c r="H507" t="s">
        <v>21</v>
      </c>
      <c r="I507" t="s">
        <v>20</v>
      </c>
      <c r="J507" s="2">
        <f>Table1_1[[#This Row],[Sales]]-Table1_1[[#This Row],[Sales]]*Table1_1[[#This Row],[Discount]]</f>
        <v>3864.9760000000001</v>
      </c>
      <c r="K507" s="1">
        <v>45539</v>
      </c>
      <c r="L507" s="11">
        <v>45541</v>
      </c>
      <c r="M507">
        <f>DATEDIF(Table1_1[[#This Row],[Order Date]],Table1_1[[#This Row],[Ship Date]],"D")</f>
        <v>2</v>
      </c>
    </row>
    <row r="508" spans="1:13" x14ac:dyDescent="0.35">
      <c r="A508" t="s">
        <v>865</v>
      </c>
      <c r="B508" t="s">
        <v>866</v>
      </c>
      <c r="C508" t="s">
        <v>197</v>
      </c>
      <c r="D508" s="2">
        <v>3480.3</v>
      </c>
      <c r="E508">
        <v>7</v>
      </c>
      <c r="F508">
        <v>0</v>
      </c>
      <c r="G508" t="s">
        <v>39</v>
      </c>
      <c r="H508" t="s">
        <v>15</v>
      </c>
      <c r="I508" t="s">
        <v>20</v>
      </c>
      <c r="J508" s="2">
        <f>Table1_1[[#This Row],[Sales]]-Table1_1[[#This Row],[Sales]]*Table1_1[[#This Row],[Discount]]</f>
        <v>3480.3</v>
      </c>
      <c r="K508" s="1">
        <v>45673</v>
      </c>
      <c r="L508" s="11">
        <v>45680</v>
      </c>
      <c r="M508">
        <f>DATEDIF(Table1_1[[#This Row],[Order Date]],Table1_1[[#This Row],[Ship Date]],"D")</f>
        <v>7</v>
      </c>
    </row>
    <row r="509" spans="1:13" x14ac:dyDescent="0.35">
      <c r="A509" t="s">
        <v>867</v>
      </c>
      <c r="B509" t="s">
        <v>522</v>
      </c>
      <c r="C509" t="s">
        <v>240</v>
      </c>
      <c r="D509" s="2">
        <v>4366.6099999999997</v>
      </c>
      <c r="E509">
        <v>4</v>
      </c>
      <c r="F509">
        <v>0</v>
      </c>
      <c r="G509" t="s">
        <v>14</v>
      </c>
      <c r="H509" t="s">
        <v>15</v>
      </c>
      <c r="I509" t="s">
        <v>16</v>
      </c>
      <c r="J509" s="2">
        <f>Table1_1[[#This Row],[Sales]]-Table1_1[[#This Row],[Sales]]*Table1_1[[#This Row],[Discount]]</f>
        <v>4366.6099999999997</v>
      </c>
      <c r="K509" s="1">
        <v>45661</v>
      </c>
      <c r="L509" s="11">
        <v>45662</v>
      </c>
      <c r="M509">
        <f>DATEDIF(Table1_1[[#This Row],[Order Date]],Table1_1[[#This Row],[Ship Date]],"D")</f>
        <v>1</v>
      </c>
    </row>
    <row r="510" spans="1:13" x14ac:dyDescent="0.35">
      <c r="A510" t="s">
        <v>868</v>
      </c>
      <c r="B510" t="s">
        <v>288</v>
      </c>
      <c r="C510" t="s">
        <v>26</v>
      </c>
      <c r="D510" s="2">
        <v>372.92</v>
      </c>
      <c r="E510">
        <v>8</v>
      </c>
      <c r="F510">
        <v>0.1</v>
      </c>
      <c r="G510" t="s">
        <v>14</v>
      </c>
      <c r="H510" t="s">
        <v>21</v>
      </c>
      <c r="I510" t="s">
        <v>16</v>
      </c>
      <c r="J510" s="2">
        <f>Table1_1[[#This Row],[Sales]]-Table1_1[[#This Row],[Sales]]*Table1_1[[#This Row],[Discount]]</f>
        <v>335.62800000000004</v>
      </c>
      <c r="K510" s="1">
        <v>44991</v>
      </c>
      <c r="L510" s="11">
        <v>44998</v>
      </c>
      <c r="M510">
        <f>DATEDIF(Table1_1[[#This Row],[Order Date]],Table1_1[[#This Row],[Ship Date]],"D")</f>
        <v>7</v>
      </c>
    </row>
    <row r="511" spans="1:13" x14ac:dyDescent="0.35">
      <c r="A511" t="s">
        <v>869</v>
      </c>
      <c r="B511" t="s">
        <v>264</v>
      </c>
      <c r="C511" t="s">
        <v>281</v>
      </c>
      <c r="D511" s="2">
        <v>1224.56</v>
      </c>
      <c r="E511">
        <v>7</v>
      </c>
      <c r="F511">
        <v>0.2</v>
      </c>
      <c r="G511" t="s">
        <v>14</v>
      </c>
      <c r="H511" t="s">
        <v>21</v>
      </c>
      <c r="I511" t="s">
        <v>43</v>
      </c>
      <c r="J511" s="2">
        <f>Table1_1[[#This Row],[Sales]]-Table1_1[[#This Row],[Sales]]*Table1_1[[#This Row],[Discount]]</f>
        <v>979.64799999999991</v>
      </c>
      <c r="K511" s="1">
        <v>45063</v>
      </c>
      <c r="L511" s="11">
        <v>45064</v>
      </c>
      <c r="M511">
        <f>DATEDIF(Table1_1[[#This Row],[Order Date]],Table1_1[[#This Row],[Ship Date]],"D")</f>
        <v>1</v>
      </c>
    </row>
    <row r="512" spans="1:13" x14ac:dyDescent="0.35">
      <c r="A512" t="s">
        <v>870</v>
      </c>
      <c r="B512" t="s">
        <v>852</v>
      </c>
      <c r="C512" t="s">
        <v>820</v>
      </c>
      <c r="D512" s="2">
        <v>2245.34</v>
      </c>
      <c r="E512">
        <v>7</v>
      </c>
      <c r="F512">
        <v>0</v>
      </c>
      <c r="G512" t="s">
        <v>39</v>
      </c>
      <c r="H512" t="s">
        <v>15</v>
      </c>
      <c r="I512" t="s">
        <v>16</v>
      </c>
      <c r="J512" s="2">
        <f>Table1_1[[#This Row],[Sales]]-Table1_1[[#This Row],[Sales]]*Table1_1[[#This Row],[Discount]]</f>
        <v>2245.34</v>
      </c>
      <c r="K512" s="1">
        <v>44943</v>
      </c>
      <c r="L512" s="11">
        <v>44945</v>
      </c>
      <c r="M512">
        <f>DATEDIF(Table1_1[[#This Row],[Order Date]],Table1_1[[#This Row],[Ship Date]],"D")</f>
        <v>2</v>
      </c>
    </row>
    <row r="513" spans="1:13" x14ac:dyDescent="0.35">
      <c r="A513" t="s">
        <v>871</v>
      </c>
      <c r="B513" t="s">
        <v>407</v>
      </c>
      <c r="C513" t="s">
        <v>217</v>
      </c>
      <c r="D513" s="2">
        <v>1674.62</v>
      </c>
      <c r="E513">
        <v>7</v>
      </c>
      <c r="F513">
        <v>0.3</v>
      </c>
      <c r="G513" t="s">
        <v>19</v>
      </c>
      <c r="H513" t="s">
        <v>21</v>
      </c>
      <c r="I513" t="s">
        <v>20</v>
      </c>
      <c r="J513" s="2">
        <f>Table1_1[[#This Row],[Sales]]-Table1_1[[#This Row],[Sales]]*Table1_1[[#This Row],[Discount]]</f>
        <v>1172.2339999999999</v>
      </c>
      <c r="K513" s="1">
        <v>45289</v>
      </c>
      <c r="L513" s="11">
        <v>45291</v>
      </c>
      <c r="M513">
        <f>DATEDIF(Table1_1[[#This Row],[Order Date]],Table1_1[[#This Row],[Ship Date]],"D")</f>
        <v>2</v>
      </c>
    </row>
    <row r="514" spans="1:13" x14ac:dyDescent="0.35">
      <c r="A514" t="s">
        <v>872</v>
      </c>
      <c r="B514" t="s">
        <v>550</v>
      </c>
      <c r="C514" t="s">
        <v>163</v>
      </c>
      <c r="D514" s="2">
        <v>4015.3</v>
      </c>
      <c r="E514">
        <v>9</v>
      </c>
      <c r="F514">
        <v>0</v>
      </c>
      <c r="G514" t="s">
        <v>14</v>
      </c>
      <c r="H514" t="s">
        <v>15</v>
      </c>
      <c r="I514" t="s">
        <v>20</v>
      </c>
      <c r="J514" s="2">
        <f>Table1_1[[#This Row],[Sales]]-Table1_1[[#This Row],[Sales]]*Table1_1[[#This Row],[Discount]]</f>
        <v>4015.3</v>
      </c>
      <c r="K514" s="1">
        <v>45390</v>
      </c>
      <c r="L514" s="11">
        <v>45397</v>
      </c>
      <c r="M514">
        <f>DATEDIF(Table1_1[[#This Row],[Order Date]],Table1_1[[#This Row],[Ship Date]],"D")</f>
        <v>7</v>
      </c>
    </row>
    <row r="515" spans="1:13" x14ac:dyDescent="0.35">
      <c r="A515" t="s">
        <v>873</v>
      </c>
      <c r="B515" t="s">
        <v>616</v>
      </c>
      <c r="C515" t="s">
        <v>214</v>
      </c>
      <c r="D515" s="2">
        <v>3258.8</v>
      </c>
      <c r="E515">
        <v>3</v>
      </c>
      <c r="F515">
        <v>0.1</v>
      </c>
      <c r="G515" t="s">
        <v>39</v>
      </c>
      <c r="H515" t="s">
        <v>21</v>
      </c>
      <c r="I515" t="s">
        <v>16</v>
      </c>
      <c r="J515" s="2">
        <f>Table1_1[[#This Row],[Sales]]-Table1_1[[#This Row],[Sales]]*Table1_1[[#This Row],[Discount]]</f>
        <v>2932.92</v>
      </c>
      <c r="K515" s="1">
        <v>45826</v>
      </c>
      <c r="L515" s="11">
        <v>45827</v>
      </c>
      <c r="M515">
        <f>DATEDIF(Table1_1[[#This Row],[Order Date]],Table1_1[[#This Row],[Ship Date]],"D")</f>
        <v>1</v>
      </c>
    </row>
    <row r="516" spans="1:13" x14ac:dyDescent="0.35">
      <c r="A516" t="s">
        <v>874</v>
      </c>
      <c r="B516" t="s">
        <v>643</v>
      </c>
      <c r="C516" t="s">
        <v>341</v>
      </c>
      <c r="D516" s="2">
        <v>4889.96</v>
      </c>
      <c r="E516">
        <v>2</v>
      </c>
      <c r="F516">
        <v>0.2</v>
      </c>
      <c r="G516" t="s">
        <v>14</v>
      </c>
      <c r="H516" t="s">
        <v>21</v>
      </c>
      <c r="I516" t="s">
        <v>20</v>
      </c>
      <c r="J516" s="2">
        <f>Table1_1[[#This Row],[Sales]]-Table1_1[[#This Row],[Sales]]*Table1_1[[#This Row],[Discount]]</f>
        <v>3911.9679999999998</v>
      </c>
      <c r="K516" s="1">
        <v>45630</v>
      </c>
      <c r="L516" s="11">
        <v>45632</v>
      </c>
      <c r="M516">
        <f>DATEDIF(Table1_1[[#This Row],[Order Date]],Table1_1[[#This Row],[Ship Date]],"D")</f>
        <v>2</v>
      </c>
    </row>
    <row r="517" spans="1:13" x14ac:dyDescent="0.35">
      <c r="A517" t="s">
        <v>875</v>
      </c>
      <c r="B517" t="s">
        <v>876</v>
      </c>
      <c r="C517" t="s">
        <v>128</v>
      </c>
      <c r="D517" s="2">
        <v>1129.49</v>
      </c>
      <c r="E517">
        <v>7</v>
      </c>
      <c r="F517">
        <v>0.1</v>
      </c>
      <c r="G517" t="s">
        <v>14</v>
      </c>
      <c r="H517" t="s">
        <v>15</v>
      </c>
      <c r="I517" t="s">
        <v>20</v>
      </c>
      <c r="J517" s="2">
        <f>Table1_1[[#This Row],[Sales]]-Table1_1[[#This Row],[Sales]]*Table1_1[[#This Row],[Discount]]</f>
        <v>1016.5409999999999</v>
      </c>
      <c r="K517" s="1">
        <v>45495</v>
      </c>
      <c r="L517" s="11">
        <v>45500</v>
      </c>
      <c r="M517">
        <f>DATEDIF(Table1_1[[#This Row],[Order Date]],Table1_1[[#This Row],[Ship Date]],"D")</f>
        <v>5</v>
      </c>
    </row>
    <row r="518" spans="1:13" x14ac:dyDescent="0.35">
      <c r="A518" t="s">
        <v>877</v>
      </c>
      <c r="B518" t="s">
        <v>347</v>
      </c>
      <c r="C518" t="s">
        <v>448</v>
      </c>
      <c r="D518" s="2">
        <v>3946.52</v>
      </c>
      <c r="E518">
        <v>6</v>
      </c>
      <c r="F518">
        <v>0.2</v>
      </c>
      <c r="G518" t="s">
        <v>14</v>
      </c>
      <c r="H518" t="s">
        <v>21</v>
      </c>
      <c r="I518" t="s">
        <v>20</v>
      </c>
      <c r="J518" s="2">
        <f>Table1_1[[#This Row],[Sales]]-Table1_1[[#This Row],[Sales]]*Table1_1[[#This Row],[Discount]]</f>
        <v>3157.2159999999999</v>
      </c>
      <c r="K518" s="1">
        <v>45693</v>
      </c>
      <c r="L518" s="11">
        <v>45698</v>
      </c>
      <c r="M518">
        <f>DATEDIF(Table1_1[[#This Row],[Order Date]],Table1_1[[#This Row],[Ship Date]],"D")</f>
        <v>5</v>
      </c>
    </row>
    <row r="519" spans="1:13" x14ac:dyDescent="0.35">
      <c r="A519" t="s">
        <v>878</v>
      </c>
      <c r="B519" t="s">
        <v>104</v>
      </c>
      <c r="C519" t="s">
        <v>89</v>
      </c>
      <c r="D519" s="2">
        <v>3609.4</v>
      </c>
      <c r="E519">
        <v>8</v>
      </c>
      <c r="F519">
        <v>0</v>
      </c>
      <c r="G519" t="s">
        <v>14</v>
      </c>
      <c r="H519" t="s">
        <v>21</v>
      </c>
      <c r="I519" t="s">
        <v>43</v>
      </c>
      <c r="J519" s="2">
        <f>Table1_1[[#This Row],[Sales]]-Table1_1[[#This Row],[Sales]]*Table1_1[[#This Row],[Discount]]</f>
        <v>3609.4</v>
      </c>
      <c r="K519" s="1">
        <v>45447</v>
      </c>
      <c r="L519" s="11">
        <v>45449</v>
      </c>
      <c r="M519">
        <f>DATEDIF(Table1_1[[#This Row],[Order Date]],Table1_1[[#This Row],[Ship Date]],"D")</f>
        <v>2</v>
      </c>
    </row>
    <row r="520" spans="1:13" x14ac:dyDescent="0.35">
      <c r="A520" t="s">
        <v>879</v>
      </c>
      <c r="B520" t="s">
        <v>852</v>
      </c>
      <c r="C520" t="s">
        <v>68</v>
      </c>
      <c r="D520" s="2">
        <v>3515.74</v>
      </c>
      <c r="E520">
        <v>1</v>
      </c>
      <c r="F520">
        <v>0.2</v>
      </c>
      <c r="G520" t="s">
        <v>14</v>
      </c>
      <c r="H520" t="s">
        <v>15</v>
      </c>
      <c r="I520" t="s">
        <v>43</v>
      </c>
      <c r="J520" s="2">
        <f>Table1_1[[#This Row],[Sales]]-Table1_1[[#This Row],[Sales]]*Table1_1[[#This Row],[Discount]]</f>
        <v>2812.5919999999996</v>
      </c>
      <c r="K520" s="1">
        <v>45788</v>
      </c>
      <c r="L520" s="11">
        <v>45791</v>
      </c>
      <c r="M520">
        <f>DATEDIF(Table1_1[[#This Row],[Order Date]],Table1_1[[#This Row],[Ship Date]],"D")</f>
        <v>3</v>
      </c>
    </row>
    <row r="521" spans="1:13" x14ac:dyDescent="0.35">
      <c r="A521" t="s">
        <v>880</v>
      </c>
      <c r="B521" t="s">
        <v>84</v>
      </c>
      <c r="C521" t="s">
        <v>197</v>
      </c>
      <c r="D521" s="2">
        <v>4677.26</v>
      </c>
      <c r="E521">
        <v>5</v>
      </c>
      <c r="F521">
        <v>0.1</v>
      </c>
      <c r="G521" t="s">
        <v>14</v>
      </c>
      <c r="H521" t="s">
        <v>21</v>
      </c>
      <c r="I521" t="s">
        <v>20</v>
      </c>
      <c r="J521" s="2">
        <f>Table1_1[[#This Row],[Sales]]-Table1_1[[#This Row],[Sales]]*Table1_1[[#This Row],[Discount]]</f>
        <v>4209.5340000000006</v>
      </c>
      <c r="K521" s="1">
        <v>45461</v>
      </c>
      <c r="L521" s="11">
        <v>45468</v>
      </c>
      <c r="M521">
        <f>DATEDIF(Table1_1[[#This Row],[Order Date]],Table1_1[[#This Row],[Ship Date]],"D")</f>
        <v>7</v>
      </c>
    </row>
    <row r="522" spans="1:13" x14ac:dyDescent="0.35">
      <c r="A522" t="s">
        <v>881</v>
      </c>
      <c r="B522" t="s">
        <v>583</v>
      </c>
      <c r="C522" t="s">
        <v>268</v>
      </c>
      <c r="D522" s="2">
        <v>2132.06</v>
      </c>
      <c r="E522">
        <v>9</v>
      </c>
      <c r="F522">
        <v>0.1</v>
      </c>
      <c r="G522" t="s">
        <v>39</v>
      </c>
      <c r="H522" t="s">
        <v>15</v>
      </c>
      <c r="I522" t="s">
        <v>43</v>
      </c>
      <c r="J522" s="2">
        <f>Table1_1[[#This Row],[Sales]]-Table1_1[[#This Row],[Sales]]*Table1_1[[#This Row],[Discount]]</f>
        <v>1918.8539999999998</v>
      </c>
      <c r="K522" s="1">
        <v>45080</v>
      </c>
      <c r="L522" s="11">
        <v>45083</v>
      </c>
      <c r="M522">
        <f>DATEDIF(Table1_1[[#This Row],[Order Date]],Table1_1[[#This Row],[Ship Date]],"D")</f>
        <v>3</v>
      </c>
    </row>
    <row r="523" spans="1:13" x14ac:dyDescent="0.35">
      <c r="A523" t="s">
        <v>882</v>
      </c>
      <c r="B523" t="s">
        <v>290</v>
      </c>
      <c r="C523" t="s">
        <v>194</v>
      </c>
      <c r="D523" s="2">
        <v>1630.2</v>
      </c>
      <c r="E523">
        <v>4</v>
      </c>
      <c r="F523">
        <v>0.3</v>
      </c>
      <c r="G523" t="s">
        <v>14</v>
      </c>
      <c r="H523" t="s">
        <v>21</v>
      </c>
      <c r="I523" t="s">
        <v>43</v>
      </c>
      <c r="J523" s="2">
        <f>Table1_1[[#This Row],[Sales]]-Table1_1[[#This Row],[Sales]]*Table1_1[[#This Row],[Discount]]</f>
        <v>1141.1400000000001</v>
      </c>
      <c r="K523" s="1">
        <v>45139</v>
      </c>
      <c r="L523" s="11">
        <v>45145</v>
      </c>
      <c r="M523">
        <f>DATEDIF(Table1_1[[#This Row],[Order Date]],Table1_1[[#This Row],[Ship Date]],"D")</f>
        <v>6</v>
      </c>
    </row>
    <row r="524" spans="1:13" x14ac:dyDescent="0.35">
      <c r="A524" t="s">
        <v>883</v>
      </c>
      <c r="B524" t="s">
        <v>852</v>
      </c>
      <c r="C524" t="s">
        <v>341</v>
      </c>
      <c r="D524" s="2">
        <v>4084.68</v>
      </c>
      <c r="E524">
        <v>9</v>
      </c>
      <c r="F524">
        <v>0.1</v>
      </c>
      <c r="G524" t="s">
        <v>19</v>
      </c>
      <c r="H524" t="s">
        <v>21</v>
      </c>
      <c r="I524" t="s">
        <v>43</v>
      </c>
      <c r="J524" s="2">
        <f>Table1_1[[#This Row],[Sales]]-Table1_1[[#This Row],[Sales]]*Table1_1[[#This Row],[Discount]]</f>
        <v>3676.212</v>
      </c>
      <c r="K524" s="1">
        <v>45234</v>
      </c>
      <c r="L524" s="11">
        <v>45241</v>
      </c>
      <c r="M524">
        <f>DATEDIF(Table1_1[[#This Row],[Order Date]],Table1_1[[#This Row],[Ship Date]],"D")</f>
        <v>7</v>
      </c>
    </row>
    <row r="525" spans="1:13" x14ac:dyDescent="0.35">
      <c r="A525" t="s">
        <v>884</v>
      </c>
      <c r="B525" t="s">
        <v>349</v>
      </c>
      <c r="C525" t="s">
        <v>223</v>
      </c>
      <c r="D525" s="2">
        <v>4314.28</v>
      </c>
      <c r="E525">
        <v>5</v>
      </c>
      <c r="F525">
        <v>0.2</v>
      </c>
      <c r="G525" t="s">
        <v>39</v>
      </c>
      <c r="H525" t="s">
        <v>15</v>
      </c>
      <c r="I525" t="s">
        <v>43</v>
      </c>
      <c r="J525" s="2">
        <f>Table1_1[[#This Row],[Sales]]-Table1_1[[#This Row],[Sales]]*Table1_1[[#This Row],[Discount]]</f>
        <v>3451.424</v>
      </c>
      <c r="K525" s="1">
        <v>45502</v>
      </c>
      <c r="L525" s="11">
        <v>45509</v>
      </c>
      <c r="M525">
        <f>DATEDIF(Table1_1[[#This Row],[Order Date]],Table1_1[[#This Row],[Ship Date]],"D")</f>
        <v>7</v>
      </c>
    </row>
    <row r="526" spans="1:13" x14ac:dyDescent="0.35">
      <c r="A526" t="s">
        <v>885</v>
      </c>
      <c r="B526" t="s">
        <v>522</v>
      </c>
      <c r="C526" t="s">
        <v>278</v>
      </c>
      <c r="D526" s="2">
        <v>1071.72</v>
      </c>
      <c r="E526">
        <v>5</v>
      </c>
      <c r="F526">
        <v>0.2</v>
      </c>
      <c r="G526" t="s">
        <v>14</v>
      </c>
      <c r="H526" t="s">
        <v>21</v>
      </c>
      <c r="I526" t="s">
        <v>16</v>
      </c>
      <c r="J526" s="2">
        <f>Table1_1[[#This Row],[Sales]]-Table1_1[[#This Row],[Sales]]*Table1_1[[#This Row],[Discount]]</f>
        <v>857.37599999999998</v>
      </c>
      <c r="K526" s="1">
        <v>45184</v>
      </c>
      <c r="L526" s="11">
        <v>45186</v>
      </c>
      <c r="M526">
        <f>DATEDIF(Table1_1[[#This Row],[Order Date]],Table1_1[[#This Row],[Ship Date]],"D")</f>
        <v>2</v>
      </c>
    </row>
    <row r="527" spans="1:13" x14ac:dyDescent="0.35">
      <c r="A527" t="s">
        <v>886</v>
      </c>
      <c r="B527" t="s">
        <v>679</v>
      </c>
      <c r="C527" t="s">
        <v>60</v>
      </c>
      <c r="D527" s="2">
        <v>2632.82</v>
      </c>
      <c r="E527">
        <v>5</v>
      </c>
      <c r="F527">
        <v>0.3</v>
      </c>
      <c r="G527" t="s">
        <v>19</v>
      </c>
      <c r="H527" t="s">
        <v>21</v>
      </c>
      <c r="I527" t="s">
        <v>43</v>
      </c>
      <c r="J527" s="2">
        <f>Table1_1[[#This Row],[Sales]]-Table1_1[[#This Row],[Sales]]*Table1_1[[#This Row],[Discount]]</f>
        <v>1842.9740000000002</v>
      </c>
      <c r="K527" s="1">
        <v>45061</v>
      </c>
      <c r="L527" s="11">
        <v>45066</v>
      </c>
      <c r="M527">
        <f>DATEDIF(Table1_1[[#This Row],[Order Date]],Table1_1[[#This Row],[Ship Date]],"D")</f>
        <v>5</v>
      </c>
    </row>
    <row r="528" spans="1:13" x14ac:dyDescent="0.35">
      <c r="A528" t="s">
        <v>887</v>
      </c>
      <c r="B528" t="s">
        <v>117</v>
      </c>
      <c r="C528" t="s">
        <v>190</v>
      </c>
      <c r="D528" s="2">
        <v>4032.97</v>
      </c>
      <c r="E528">
        <v>3</v>
      </c>
      <c r="F528">
        <v>0</v>
      </c>
      <c r="G528" t="s">
        <v>39</v>
      </c>
      <c r="H528" t="s">
        <v>21</v>
      </c>
      <c r="I528" t="s">
        <v>43</v>
      </c>
      <c r="J528" s="2">
        <f>Table1_1[[#This Row],[Sales]]-Table1_1[[#This Row],[Sales]]*Table1_1[[#This Row],[Discount]]</f>
        <v>4032.97</v>
      </c>
      <c r="K528" s="1">
        <v>45169</v>
      </c>
      <c r="L528" s="11">
        <v>45176</v>
      </c>
      <c r="M528">
        <f>DATEDIF(Table1_1[[#This Row],[Order Date]],Table1_1[[#This Row],[Ship Date]],"D")</f>
        <v>7</v>
      </c>
    </row>
    <row r="529" spans="1:13" x14ac:dyDescent="0.35">
      <c r="A529" t="s">
        <v>888</v>
      </c>
      <c r="B529" t="s">
        <v>483</v>
      </c>
      <c r="C529" t="s">
        <v>157</v>
      </c>
      <c r="D529" s="2">
        <v>3443.77</v>
      </c>
      <c r="E529">
        <v>8</v>
      </c>
      <c r="F529">
        <v>0.3</v>
      </c>
      <c r="G529" t="s">
        <v>14</v>
      </c>
      <c r="H529" t="s">
        <v>21</v>
      </c>
      <c r="I529" t="s">
        <v>20</v>
      </c>
      <c r="J529" s="2">
        <f>Table1_1[[#This Row],[Sales]]-Table1_1[[#This Row],[Sales]]*Table1_1[[#This Row],[Discount]]</f>
        <v>2410.6390000000001</v>
      </c>
      <c r="K529" s="1">
        <v>45071</v>
      </c>
      <c r="L529" s="11">
        <v>45073</v>
      </c>
      <c r="M529">
        <f>DATEDIF(Table1_1[[#This Row],[Order Date]],Table1_1[[#This Row],[Ship Date]],"D")</f>
        <v>2</v>
      </c>
    </row>
    <row r="530" spans="1:13" x14ac:dyDescent="0.35">
      <c r="A530" t="s">
        <v>889</v>
      </c>
      <c r="B530" t="s">
        <v>107</v>
      </c>
      <c r="C530" t="s">
        <v>108</v>
      </c>
      <c r="D530" s="2">
        <v>4637.2700000000004</v>
      </c>
      <c r="E530">
        <v>7</v>
      </c>
      <c r="F530">
        <v>0.1</v>
      </c>
      <c r="G530" t="s">
        <v>19</v>
      </c>
      <c r="H530" t="s">
        <v>15</v>
      </c>
      <c r="I530" t="s">
        <v>16</v>
      </c>
      <c r="J530" s="2">
        <f>Table1_1[[#This Row],[Sales]]-Table1_1[[#This Row],[Sales]]*Table1_1[[#This Row],[Discount]]</f>
        <v>4173.5430000000006</v>
      </c>
      <c r="K530" s="1">
        <v>45551</v>
      </c>
      <c r="L530" s="11">
        <v>45554</v>
      </c>
      <c r="M530">
        <f>DATEDIF(Table1_1[[#This Row],[Order Date]],Table1_1[[#This Row],[Ship Date]],"D")</f>
        <v>3</v>
      </c>
    </row>
    <row r="531" spans="1:13" x14ac:dyDescent="0.35">
      <c r="A531" t="s">
        <v>890</v>
      </c>
      <c r="B531" t="s">
        <v>891</v>
      </c>
      <c r="C531" t="s">
        <v>359</v>
      </c>
      <c r="D531" s="2">
        <v>3695.92</v>
      </c>
      <c r="E531">
        <v>4</v>
      </c>
      <c r="F531">
        <v>0.3</v>
      </c>
      <c r="G531" t="s">
        <v>39</v>
      </c>
      <c r="H531" t="s">
        <v>21</v>
      </c>
      <c r="I531" t="s">
        <v>20</v>
      </c>
      <c r="J531" s="2">
        <f>Table1_1[[#This Row],[Sales]]-Table1_1[[#This Row],[Sales]]*Table1_1[[#This Row],[Discount]]</f>
        <v>2587.1440000000002</v>
      </c>
      <c r="K531" s="1">
        <v>45297</v>
      </c>
      <c r="L531" s="11">
        <v>45301</v>
      </c>
      <c r="M531">
        <f>DATEDIF(Table1_1[[#This Row],[Order Date]],Table1_1[[#This Row],[Ship Date]],"D")</f>
        <v>4</v>
      </c>
    </row>
    <row r="532" spans="1:13" x14ac:dyDescent="0.35">
      <c r="A532" t="s">
        <v>892</v>
      </c>
      <c r="B532" t="s">
        <v>643</v>
      </c>
      <c r="C532" t="s">
        <v>662</v>
      </c>
      <c r="D532" s="2">
        <v>1116.33</v>
      </c>
      <c r="E532">
        <v>2</v>
      </c>
      <c r="F532">
        <v>0.1</v>
      </c>
      <c r="G532" t="s">
        <v>14</v>
      </c>
      <c r="H532" t="s">
        <v>15</v>
      </c>
      <c r="I532" t="s">
        <v>20</v>
      </c>
      <c r="J532" s="2">
        <f>Table1_1[[#This Row],[Sales]]-Table1_1[[#This Row],[Sales]]*Table1_1[[#This Row],[Discount]]</f>
        <v>1004.6969999999999</v>
      </c>
      <c r="K532" s="1">
        <v>45769</v>
      </c>
      <c r="L532" s="11">
        <v>45770</v>
      </c>
      <c r="M532">
        <f>DATEDIF(Table1_1[[#This Row],[Order Date]],Table1_1[[#This Row],[Ship Date]],"D")</f>
        <v>1</v>
      </c>
    </row>
    <row r="533" spans="1:13" x14ac:dyDescent="0.35">
      <c r="A533" t="s">
        <v>893</v>
      </c>
      <c r="B533" t="s">
        <v>894</v>
      </c>
      <c r="C533" t="s">
        <v>223</v>
      </c>
      <c r="D533" s="2">
        <v>4479.57</v>
      </c>
      <c r="E533">
        <v>1</v>
      </c>
      <c r="F533">
        <v>0.2</v>
      </c>
      <c r="G533" t="s">
        <v>19</v>
      </c>
      <c r="H533" t="s">
        <v>15</v>
      </c>
      <c r="I533" t="s">
        <v>20</v>
      </c>
      <c r="J533" s="2">
        <f>Table1_1[[#This Row],[Sales]]-Table1_1[[#This Row],[Sales]]*Table1_1[[#This Row],[Discount]]</f>
        <v>3583.6559999999999</v>
      </c>
      <c r="K533" s="1">
        <v>45827</v>
      </c>
      <c r="L533" s="11">
        <v>45831</v>
      </c>
      <c r="M533">
        <f>DATEDIF(Table1_1[[#This Row],[Order Date]],Table1_1[[#This Row],[Ship Date]],"D")</f>
        <v>4</v>
      </c>
    </row>
    <row r="534" spans="1:13" x14ac:dyDescent="0.35">
      <c r="A534" t="s">
        <v>895</v>
      </c>
      <c r="B534" t="s">
        <v>896</v>
      </c>
      <c r="C534" t="s">
        <v>152</v>
      </c>
      <c r="D534" s="2">
        <v>2103.08</v>
      </c>
      <c r="E534">
        <v>10</v>
      </c>
      <c r="F534">
        <v>0.1</v>
      </c>
      <c r="G534" t="s">
        <v>14</v>
      </c>
      <c r="H534" t="s">
        <v>21</v>
      </c>
      <c r="I534" t="s">
        <v>43</v>
      </c>
      <c r="J534" s="2">
        <f>Table1_1[[#This Row],[Sales]]-Table1_1[[#This Row],[Sales]]*Table1_1[[#This Row],[Discount]]</f>
        <v>1892.7719999999999</v>
      </c>
      <c r="K534" s="1">
        <v>45270</v>
      </c>
      <c r="L534" s="11">
        <v>45277</v>
      </c>
      <c r="M534">
        <f>DATEDIF(Table1_1[[#This Row],[Order Date]],Table1_1[[#This Row],[Ship Date]],"D")</f>
        <v>7</v>
      </c>
    </row>
    <row r="535" spans="1:13" x14ac:dyDescent="0.35">
      <c r="A535" t="s">
        <v>897</v>
      </c>
      <c r="B535" t="s">
        <v>791</v>
      </c>
      <c r="C535" t="s">
        <v>125</v>
      </c>
      <c r="D535" s="2">
        <v>1583.38</v>
      </c>
      <c r="E535">
        <v>1</v>
      </c>
      <c r="F535">
        <v>0</v>
      </c>
      <c r="G535" t="s">
        <v>14</v>
      </c>
      <c r="H535" t="s">
        <v>15</v>
      </c>
      <c r="I535" t="s">
        <v>16</v>
      </c>
      <c r="J535" s="2">
        <f>Table1_1[[#This Row],[Sales]]-Table1_1[[#This Row],[Sales]]*Table1_1[[#This Row],[Discount]]</f>
        <v>1583.38</v>
      </c>
      <c r="K535" s="1">
        <v>44961</v>
      </c>
      <c r="L535" s="11">
        <v>44962</v>
      </c>
      <c r="M535">
        <f>DATEDIF(Table1_1[[#This Row],[Order Date]],Table1_1[[#This Row],[Ship Date]],"D")</f>
        <v>1</v>
      </c>
    </row>
    <row r="536" spans="1:13" x14ac:dyDescent="0.35">
      <c r="A536" t="s">
        <v>898</v>
      </c>
      <c r="B536" t="s">
        <v>704</v>
      </c>
      <c r="C536" t="s">
        <v>160</v>
      </c>
      <c r="D536" s="2">
        <v>394.31</v>
      </c>
      <c r="E536">
        <v>10</v>
      </c>
      <c r="F536">
        <v>0.3</v>
      </c>
      <c r="G536" t="s">
        <v>39</v>
      </c>
      <c r="H536" t="s">
        <v>21</v>
      </c>
      <c r="I536" t="s">
        <v>16</v>
      </c>
      <c r="J536" s="2">
        <f>Table1_1[[#This Row],[Sales]]-Table1_1[[#This Row],[Sales]]*Table1_1[[#This Row],[Discount]]</f>
        <v>276.017</v>
      </c>
      <c r="K536" s="1">
        <v>45758</v>
      </c>
      <c r="L536" s="11">
        <v>45764</v>
      </c>
      <c r="M536">
        <f>DATEDIF(Table1_1[[#This Row],[Order Date]],Table1_1[[#This Row],[Ship Date]],"D")</f>
        <v>6</v>
      </c>
    </row>
    <row r="537" spans="1:13" x14ac:dyDescent="0.35">
      <c r="A537" t="s">
        <v>899</v>
      </c>
      <c r="B537" t="s">
        <v>124</v>
      </c>
      <c r="C537" t="s">
        <v>102</v>
      </c>
      <c r="D537" s="2">
        <v>2622.11</v>
      </c>
      <c r="E537">
        <v>1</v>
      </c>
      <c r="F537">
        <v>0</v>
      </c>
      <c r="G537" t="s">
        <v>14</v>
      </c>
      <c r="H537" t="s">
        <v>21</v>
      </c>
      <c r="I537" t="s">
        <v>16</v>
      </c>
      <c r="J537" s="2">
        <f>Table1_1[[#This Row],[Sales]]-Table1_1[[#This Row],[Sales]]*Table1_1[[#This Row],[Discount]]</f>
        <v>2622.11</v>
      </c>
      <c r="K537" s="1">
        <v>45749</v>
      </c>
      <c r="L537" s="11">
        <v>45756</v>
      </c>
      <c r="M537">
        <f>DATEDIF(Table1_1[[#This Row],[Order Date]],Table1_1[[#This Row],[Ship Date]],"D")</f>
        <v>7</v>
      </c>
    </row>
    <row r="538" spans="1:13" x14ac:dyDescent="0.35">
      <c r="A538" t="s">
        <v>900</v>
      </c>
      <c r="B538" t="s">
        <v>522</v>
      </c>
      <c r="C538" t="s">
        <v>60</v>
      </c>
      <c r="D538" s="2">
        <v>3506.57</v>
      </c>
      <c r="E538">
        <v>4</v>
      </c>
      <c r="F538">
        <v>0.2</v>
      </c>
      <c r="G538" t="s">
        <v>39</v>
      </c>
      <c r="H538" t="s">
        <v>15</v>
      </c>
      <c r="I538" t="s">
        <v>20</v>
      </c>
      <c r="J538" s="2">
        <f>Table1_1[[#This Row],[Sales]]-Table1_1[[#This Row],[Sales]]*Table1_1[[#This Row],[Discount]]</f>
        <v>2805.2560000000003</v>
      </c>
      <c r="K538" s="1">
        <v>45062</v>
      </c>
      <c r="L538" s="11">
        <v>45066</v>
      </c>
      <c r="M538">
        <f>DATEDIF(Table1_1[[#This Row],[Order Date]],Table1_1[[#This Row],[Ship Date]],"D")</f>
        <v>4</v>
      </c>
    </row>
    <row r="539" spans="1:13" x14ac:dyDescent="0.35">
      <c r="A539" t="s">
        <v>901</v>
      </c>
      <c r="B539" t="s">
        <v>154</v>
      </c>
      <c r="C539" t="s">
        <v>57</v>
      </c>
      <c r="D539" s="2">
        <v>159.82</v>
      </c>
      <c r="E539">
        <v>10</v>
      </c>
      <c r="F539">
        <v>0.1</v>
      </c>
      <c r="G539" t="s">
        <v>39</v>
      </c>
      <c r="H539" t="s">
        <v>21</v>
      </c>
      <c r="I539" t="s">
        <v>16</v>
      </c>
      <c r="J539" s="2">
        <f>Table1_1[[#This Row],[Sales]]-Table1_1[[#This Row],[Sales]]*Table1_1[[#This Row],[Discount]]</f>
        <v>143.83799999999999</v>
      </c>
      <c r="K539" s="1">
        <v>45620</v>
      </c>
      <c r="L539" s="11">
        <v>45623</v>
      </c>
      <c r="M539">
        <f>DATEDIF(Table1_1[[#This Row],[Order Date]],Table1_1[[#This Row],[Ship Date]],"D")</f>
        <v>3</v>
      </c>
    </row>
    <row r="540" spans="1:13" x14ac:dyDescent="0.35">
      <c r="A540" t="s">
        <v>902</v>
      </c>
      <c r="B540" t="s">
        <v>561</v>
      </c>
      <c r="C540" t="s">
        <v>135</v>
      </c>
      <c r="D540" s="2">
        <v>1666.21</v>
      </c>
      <c r="E540">
        <v>3</v>
      </c>
      <c r="F540">
        <v>0.2</v>
      </c>
      <c r="G540" t="s">
        <v>39</v>
      </c>
      <c r="H540" t="s">
        <v>15</v>
      </c>
      <c r="I540" t="s">
        <v>20</v>
      </c>
      <c r="J540" s="2">
        <f>Table1_1[[#This Row],[Sales]]-Table1_1[[#This Row],[Sales]]*Table1_1[[#This Row],[Discount]]</f>
        <v>1332.9680000000001</v>
      </c>
      <c r="K540" s="1">
        <v>45094</v>
      </c>
      <c r="L540" s="11">
        <v>45100</v>
      </c>
      <c r="M540">
        <f>DATEDIF(Table1_1[[#This Row],[Order Date]],Table1_1[[#This Row],[Ship Date]],"D")</f>
        <v>6</v>
      </c>
    </row>
    <row r="541" spans="1:13" x14ac:dyDescent="0.35">
      <c r="A541" t="s">
        <v>903</v>
      </c>
      <c r="B541" t="s">
        <v>245</v>
      </c>
      <c r="C541" t="s">
        <v>152</v>
      </c>
      <c r="D541" s="2">
        <v>1686.77</v>
      </c>
      <c r="E541">
        <v>3</v>
      </c>
      <c r="F541">
        <v>0</v>
      </c>
      <c r="G541" t="s">
        <v>39</v>
      </c>
      <c r="H541" t="s">
        <v>21</v>
      </c>
      <c r="I541" t="s">
        <v>20</v>
      </c>
      <c r="J541" s="2">
        <f>Table1_1[[#This Row],[Sales]]-Table1_1[[#This Row],[Sales]]*Table1_1[[#This Row],[Discount]]</f>
        <v>1686.77</v>
      </c>
      <c r="K541" s="1">
        <v>45819</v>
      </c>
      <c r="L541" s="11">
        <v>45825</v>
      </c>
      <c r="M541">
        <f>DATEDIF(Table1_1[[#This Row],[Order Date]],Table1_1[[#This Row],[Ship Date]],"D")</f>
        <v>6</v>
      </c>
    </row>
    <row r="542" spans="1:13" x14ac:dyDescent="0.35">
      <c r="A542" t="s">
        <v>904</v>
      </c>
      <c r="B542" t="s">
        <v>852</v>
      </c>
      <c r="C542" t="s">
        <v>82</v>
      </c>
      <c r="D542" s="2">
        <v>2952.62</v>
      </c>
      <c r="E542">
        <v>3</v>
      </c>
      <c r="F542">
        <v>0.3</v>
      </c>
      <c r="G542" t="s">
        <v>14</v>
      </c>
      <c r="H542" t="s">
        <v>21</v>
      </c>
      <c r="I542" t="s">
        <v>43</v>
      </c>
      <c r="J542" s="2">
        <f>Table1_1[[#This Row],[Sales]]-Table1_1[[#This Row],[Sales]]*Table1_1[[#This Row],[Discount]]</f>
        <v>2066.8339999999998</v>
      </c>
      <c r="K542" s="1">
        <v>45178</v>
      </c>
      <c r="L542" s="11">
        <v>45185</v>
      </c>
      <c r="M542">
        <f>DATEDIF(Table1_1[[#This Row],[Order Date]],Table1_1[[#This Row],[Ship Date]],"D")</f>
        <v>7</v>
      </c>
    </row>
    <row r="543" spans="1:13" x14ac:dyDescent="0.35">
      <c r="A543" t="s">
        <v>905</v>
      </c>
      <c r="B543" t="s">
        <v>906</v>
      </c>
      <c r="C543" t="s">
        <v>450</v>
      </c>
      <c r="D543" s="2">
        <v>2257.0300000000002</v>
      </c>
      <c r="E543">
        <v>7</v>
      </c>
      <c r="F543">
        <v>0.3</v>
      </c>
      <c r="G543" t="s">
        <v>14</v>
      </c>
      <c r="H543" t="s">
        <v>21</v>
      </c>
      <c r="I543" t="s">
        <v>43</v>
      </c>
      <c r="J543" s="2">
        <f>Table1_1[[#This Row],[Sales]]-Table1_1[[#This Row],[Sales]]*Table1_1[[#This Row],[Discount]]</f>
        <v>1579.9210000000003</v>
      </c>
      <c r="K543" s="1">
        <v>45802</v>
      </c>
      <c r="L543" s="11">
        <v>45809</v>
      </c>
      <c r="M543">
        <f>DATEDIF(Table1_1[[#This Row],[Order Date]],Table1_1[[#This Row],[Ship Date]],"D")</f>
        <v>7</v>
      </c>
    </row>
    <row r="544" spans="1:13" x14ac:dyDescent="0.35">
      <c r="A544" t="s">
        <v>907</v>
      </c>
      <c r="B544" t="s">
        <v>530</v>
      </c>
      <c r="C544" t="s">
        <v>160</v>
      </c>
      <c r="D544" s="2">
        <v>2780.79</v>
      </c>
      <c r="E544">
        <v>2</v>
      </c>
      <c r="F544">
        <v>0</v>
      </c>
      <c r="G544" t="s">
        <v>19</v>
      </c>
      <c r="H544" t="s">
        <v>21</v>
      </c>
      <c r="I544" t="s">
        <v>43</v>
      </c>
      <c r="J544" s="2">
        <f>Table1_1[[#This Row],[Sales]]-Table1_1[[#This Row],[Sales]]*Table1_1[[#This Row],[Discount]]</f>
        <v>2780.79</v>
      </c>
      <c r="K544" s="1">
        <v>45272</v>
      </c>
      <c r="L544" s="11">
        <v>45277</v>
      </c>
      <c r="M544">
        <f>DATEDIF(Table1_1[[#This Row],[Order Date]],Table1_1[[#This Row],[Ship Date]],"D")</f>
        <v>5</v>
      </c>
    </row>
    <row r="545" spans="1:13" x14ac:dyDescent="0.35">
      <c r="A545" t="s">
        <v>908</v>
      </c>
      <c r="B545" t="s">
        <v>173</v>
      </c>
      <c r="C545" t="s">
        <v>102</v>
      </c>
      <c r="D545" s="2">
        <v>4804.5200000000004</v>
      </c>
      <c r="E545">
        <v>10</v>
      </c>
      <c r="F545">
        <v>0.1</v>
      </c>
      <c r="G545" t="s">
        <v>19</v>
      </c>
      <c r="H545" t="s">
        <v>21</v>
      </c>
      <c r="I545" t="s">
        <v>16</v>
      </c>
      <c r="J545" s="2">
        <f>Table1_1[[#This Row],[Sales]]-Table1_1[[#This Row],[Sales]]*Table1_1[[#This Row],[Discount]]</f>
        <v>4324.0680000000002</v>
      </c>
      <c r="K545" s="1">
        <v>45177</v>
      </c>
      <c r="L545" s="11">
        <v>45182</v>
      </c>
      <c r="M545">
        <f>DATEDIF(Table1_1[[#This Row],[Order Date]],Table1_1[[#This Row],[Ship Date]],"D")</f>
        <v>5</v>
      </c>
    </row>
    <row r="546" spans="1:13" x14ac:dyDescent="0.35">
      <c r="A546" t="s">
        <v>909</v>
      </c>
      <c r="B546" t="s">
        <v>846</v>
      </c>
      <c r="C546" t="s">
        <v>441</v>
      </c>
      <c r="D546" s="2">
        <v>714.71</v>
      </c>
      <c r="E546">
        <v>10</v>
      </c>
      <c r="F546">
        <v>0.3</v>
      </c>
      <c r="G546" t="s">
        <v>19</v>
      </c>
      <c r="H546" t="s">
        <v>21</v>
      </c>
      <c r="I546" t="s">
        <v>16</v>
      </c>
      <c r="J546" s="2">
        <f>Table1_1[[#This Row],[Sales]]-Table1_1[[#This Row],[Sales]]*Table1_1[[#This Row],[Discount]]</f>
        <v>500.29700000000003</v>
      </c>
      <c r="K546" s="1">
        <v>45804</v>
      </c>
      <c r="L546" s="11">
        <v>45805</v>
      </c>
      <c r="M546">
        <f>DATEDIF(Table1_1[[#This Row],[Order Date]],Table1_1[[#This Row],[Ship Date]],"D")</f>
        <v>1</v>
      </c>
    </row>
    <row r="547" spans="1:13" x14ac:dyDescent="0.35">
      <c r="A547" t="s">
        <v>910</v>
      </c>
      <c r="B547" t="s">
        <v>445</v>
      </c>
      <c r="C547" t="s">
        <v>911</v>
      </c>
      <c r="D547" s="2">
        <v>2363.09</v>
      </c>
      <c r="E547">
        <v>5</v>
      </c>
      <c r="F547">
        <v>0.2</v>
      </c>
      <c r="G547" t="s">
        <v>19</v>
      </c>
      <c r="H547" t="s">
        <v>21</v>
      </c>
      <c r="I547" t="s">
        <v>20</v>
      </c>
      <c r="J547" s="2">
        <f>Table1_1[[#This Row],[Sales]]-Table1_1[[#This Row],[Sales]]*Table1_1[[#This Row],[Discount]]</f>
        <v>1890.4720000000002</v>
      </c>
      <c r="K547" s="1">
        <v>45040</v>
      </c>
      <c r="L547" s="11">
        <v>45045</v>
      </c>
      <c r="M547">
        <f>DATEDIF(Table1_1[[#This Row],[Order Date]],Table1_1[[#This Row],[Ship Date]],"D")</f>
        <v>5</v>
      </c>
    </row>
    <row r="548" spans="1:13" x14ac:dyDescent="0.35">
      <c r="A548" t="s">
        <v>912</v>
      </c>
      <c r="B548" t="s">
        <v>913</v>
      </c>
      <c r="C548" t="s">
        <v>77</v>
      </c>
      <c r="D548" s="2">
        <v>2079.86</v>
      </c>
      <c r="E548">
        <v>7</v>
      </c>
      <c r="F548">
        <v>0.2</v>
      </c>
      <c r="G548" t="s">
        <v>14</v>
      </c>
      <c r="H548" t="s">
        <v>15</v>
      </c>
      <c r="I548" t="s">
        <v>16</v>
      </c>
      <c r="J548" s="2">
        <f>Table1_1[[#This Row],[Sales]]-Table1_1[[#This Row],[Sales]]*Table1_1[[#This Row],[Discount]]</f>
        <v>1663.8880000000001</v>
      </c>
      <c r="K548" s="1">
        <v>45728</v>
      </c>
      <c r="L548" s="11">
        <v>45729</v>
      </c>
      <c r="M548">
        <f>DATEDIF(Table1_1[[#This Row],[Order Date]],Table1_1[[#This Row],[Ship Date]],"D")</f>
        <v>1</v>
      </c>
    </row>
    <row r="549" spans="1:13" x14ac:dyDescent="0.35">
      <c r="A549" t="s">
        <v>914</v>
      </c>
      <c r="B549" t="s">
        <v>23</v>
      </c>
      <c r="C549" t="s">
        <v>211</v>
      </c>
      <c r="D549" s="2">
        <v>1876.66</v>
      </c>
      <c r="E549">
        <v>10</v>
      </c>
      <c r="F549">
        <v>0</v>
      </c>
      <c r="G549" t="s">
        <v>14</v>
      </c>
      <c r="H549" t="s">
        <v>15</v>
      </c>
      <c r="I549" t="s">
        <v>16</v>
      </c>
      <c r="J549" s="2">
        <f>Table1_1[[#This Row],[Sales]]-Table1_1[[#This Row],[Sales]]*Table1_1[[#This Row],[Discount]]</f>
        <v>1876.66</v>
      </c>
      <c r="K549" s="1">
        <v>45425</v>
      </c>
      <c r="L549" s="11">
        <v>45432</v>
      </c>
      <c r="M549">
        <f>DATEDIF(Table1_1[[#This Row],[Order Date]],Table1_1[[#This Row],[Ship Date]],"D")</f>
        <v>7</v>
      </c>
    </row>
    <row r="550" spans="1:13" x14ac:dyDescent="0.35">
      <c r="A550" t="s">
        <v>915</v>
      </c>
      <c r="B550" t="s">
        <v>45</v>
      </c>
      <c r="C550" t="s">
        <v>662</v>
      </c>
      <c r="D550" s="2">
        <v>4014.01</v>
      </c>
      <c r="E550">
        <v>3</v>
      </c>
      <c r="F550">
        <v>0.3</v>
      </c>
      <c r="G550" t="s">
        <v>19</v>
      </c>
      <c r="H550" t="s">
        <v>21</v>
      </c>
      <c r="I550" t="s">
        <v>43</v>
      </c>
      <c r="J550" s="2">
        <f>Table1_1[[#This Row],[Sales]]-Table1_1[[#This Row],[Sales]]*Table1_1[[#This Row],[Discount]]</f>
        <v>2809.8070000000002</v>
      </c>
      <c r="K550" s="1">
        <v>45101</v>
      </c>
      <c r="L550" s="11">
        <v>45102</v>
      </c>
      <c r="M550">
        <f>DATEDIF(Table1_1[[#This Row],[Order Date]],Table1_1[[#This Row],[Ship Date]],"D")</f>
        <v>1</v>
      </c>
    </row>
    <row r="551" spans="1:13" x14ac:dyDescent="0.35">
      <c r="A551" t="s">
        <v>916</v>
      </c>
      <c r="B551" t="s">
        <v>159</v>
      </c>
      <c r="C551" t="s">
        <v>450</v>
      </c>
      <c r="D551" s="2">
        <v>2762.35</v>
      </c>
      <c r="E551">
        <v>10</v>
      </c>
      <c r="F551">
        <v>0.3</v>
      </c>
      <c r="G551" t="s">
        <v>39</v>
      </c>
      <c r="H551" t="s">
        <v>15</v>
      </c>
      <c r="I551" t="s">
        <v>43</v>
      </c>
      <c r="J551" s="2">
        <f>Table1_1[[#This Row],[Sales]]-Table1_1[[#This Row],[Sales]]*Table1_1[[#This Row],[Discount]]</f>
        <v>1933.645</v>
      </c>
      <c r="K551" s="1">
        <v>45237</v>
      </c>
      <c r="L551" s="11">
        <v>45241</v>
      </c>
      <c r="M551">
        <f>DATEDIF(Table1_1[[#This Row],[Order Date]],Table1_1[[#This Row],[Ship Date]],"D")</f>
        <v>4</v>
      </c>
    </row>
    <row r="552" spans="1:13" x14ac:dyDescent="0.35">
      <c r="A552" t="s">
        <v>917</v>
      </c>
      <c r="B552" t="s">
        <v>530</v>
      </c>
      <c r="C552" t="s">
        <v>511</v>
      </c>
      <c r="D552" s="2">
        <v>2439.31</v>
      </c>
      <c r="E552">
        <v>5</v>
      </c>
      <c r="F552">
        <v>0.3</v>
      </c>
      <c r="G552" t="s">
        <v>14</v>
      </c>
      <c r="H552" t="s">
        <v>15</v>
      </c>
      <c r="I552" t="s">
        <v>43</v>
      </c>
      <c r="J552" s="2">
        <f>Table1_1[[#This Row],[Sales]]-Table1_1[[#This Row],[Sales]]*Table1_1[[#This Row],[Discount]]</f>
        <v>1707.5169999999998</v>
      </c>
      <c r="K552" s="1">
        <v>45527</v>
      </c>
      <c r="L552" s="11">
        <v>45532</v>
      </c>
      <c r="M552">
        <f>DATEDIF(Table1_1[[#This Row],[Order Date]],Table1_1[[#This Row],[Ship Date]],"D")</f>
        <v>5</v>
      </c>
    </row>
    <row r="553" spans="1:13" x14ac:dyDescent="0.35">
      <c r="A553" t="s">
        <v>918</v>
      </c>
      <c r="B553" t="s">
        <v>70</v>
      </c>
      <c r="C553" t="s">
        <v>595</v>
      </c>
      <c r="D553" s="2">
        <v>1808.83</v>
      </c>
      <c r="E553">
        <v>4</v>
      </c>
      <c r="F553">
        <v>0.3</v>
      </c>
      <c r="G553" t="s">
        <v>14</v>
      </c>
      <c r="H553" t="s">
        <v>21</v>
      </c>
      <c r="I553" t="s">
        <v>20</v>
      </c>
      <c r="J553" s="2">
        <f>Table1_1[[#This Row],[Sales]]-Table1_1[[#This Row],[Sales]]*Table1_1[[#This Row],[Discount]]</f>
        <v>1266.181</v>
      </c>
      <c r="K553" s="1">
        <v>45659</v>
      </c>
      <c r="L553" s="11">
        <v>45666</v>
      </c>
      <c r="M553">
        <f>DATEDIF(Table1_1[[#This Row],[Order Date]],Table1_1[[#This Row],[Ship Date]],"D")</f>
        <v>7</v>
      </c>
    </row>
    <row r="554" spans="1:13" x14ac:dyDescent="0.35">
      <c r="A554" t="s">
        <v>919</v>
      </c>
      <c r="B554" t="s">
        <v>222</v>
      </c>
      <c r="C554" t="s">
        <v>262</v>
      </c>
      <c r="D554" s="2">
        <v>149.97</v>
      </c>
      <c r="E554">
        <v>3</v>
      </c>
      <c r="F554">
        <v>0.2</v>
      </c>
      <c r="G554" t="s">
        <v>14</v>
      </c>
      <c r="H554" t="s">
        <v>15</v>
      </c>
      <c r="I554" t="s">
        <v>43</v>
      </c>
      <c r="J554" s="2">
        <f>Table1_1[[#This Row],[Sales]]-Table1_1[[#This Row],[Sales]]*Table1_1[[#This Row],[Discount]]</f>
        <v>119.976</v>
      </c>
      <c r="K554" s="1">
        <v>45620</v>
      </c>
      <c r="L554" s="11">
        <v>45626</v>
      </c>
      <c r="M554">
        <f>DATEDIF(Table1_1[[#This Row],[Order Date]],Table1_1[[#This Row],[Ship Date]],"D")</f>
        <v>6</v>
      </c>
    </row>
    <row r="555" spans="1:13" x14ac:dyDescent="0.35">
      <c r="A555" t="s">
        <v>920</v>
      </c>
      <c r="B555" t="s">
        <v>84</v>
      </c>
      <c r="C555" t="s">
        <v>262</v>
      </c>
      <c r="D555" s="2">
        <v>1002.64</v>
      </c>
      <c r="E555">
        <v>5</v>
      </c>
      <c r="F555">
        <v>0.1</v>
      </c>
      <c r="G555" t="s">
        <v>14</v>
      </c>
      <c r="H555" t="s">
        <v>15</v>
      </c>
      <c r="I555" t="s">
        <v>20</v>
      </c>
      <c r="J555" s="2">
        <f>Table1_1[[#This Row],[Sales]]-Table1_1[[#This Row],[Sales]]*Table1_1[[#This Row],[Discount]]</f>
        <v>902.37599999999998</v>
      </c>
      <c r="K555" s="1">
        <v>45093</v>
      </c>
      <c r="L555" s="11">
        <v>45098</v>
      </c>
      <c r="M555">
        <f>DATEDIF(Table1_1[[#This Row],[Order Date]],Table1_1[[#This Row],[Ship Date]],"D")</f>
        <v>5</v>
      </c>
    </row>
    <row r="556" spans="1:13" x14ac:dyDescent="0.35">
      <c r="A556" t="s">
        <v>921</v>
      </c>
      <c r="B556" t="s">
        <v>394</v>
      </c>
      <c r="C556" t="s">
        <v>57</v>
      </c>
      <c r="D556" s="2">
        <v>185.97</v>
      </c>
      <c r="E556">
        <v>9</v>
      </c>
      <c r="F556">
        <v>0.3</v>
      </c>
      <c r="G556" t="s">
        <v>39</v>
      </c>
      <c r="H556" t="s">
        <v>15</v>
      </c>
      <c r="I556" t="s">
        <v>16</v>
      </c>
      <c r="J556" s="2">
        <f>Table1_1[[#This Row],[Sales]]-Table1_1[[#This Row],[Sales]]*Table1_1[[#This Row],[Discount]]</f>
        <v>130.179</v>
      </c>
      <c r="K556" s="1">
        <v>45020</v>
      </c>
      <c r="L556" s="11">
        <v>45021</v>
      </c>
      <c r="M556">
        <f>DATEDIF(Table1_1[[#This Row],[Order Date]],Table1_1[[#This Row],[Ship Date]],"D")</f>
        <v>1</v>
      </c>
    </row>
    <row r="557" spans="1:13" x14ac:dyDescent="0.35">
      <c r="A557" t="s">
        <v>922</v>
      </c>
      <c r="B557" t="s">
        <v>347</v>
      </c>
      <c r="C557" t="s">
        <v>157</v>
      </c>
      <c r="D557" s="2">
        <v>1781.32</v>
      </c>
      <c r="E557">
        <v>6</v>
      </c>
      <c r="F557">
        <v>0.3</v>
      </c>
      <c r="G557" t="s">
        <v>19</v>
      </c>
      <c r="H557" t="s">
        <v>15</v>
      </c>
      <c r="I557" t="s">
        <v>20</v>
      </c>
      <c r="J557" s="2">
        <f>Table1_1[[#This Row],[Sales]]-Table1_1[[#This Row],[Sales]]*Table1_1[[#This Row],[Discount]]</f>
        <v>1246.924</v>
      </c>
      <c r="K557" s="1">
        <v>45582</v>
      </c>
      <c r="L557" s="11">
        <v>45584</v>
      </c>
      <c r="M557">
        <f>DATEDIF(Table1_1[[#This Row],[Order Date]],Table1_1[[#This Row],[Ship Date]],"D")</f>
        <v>2</v>
      </c>
    </row>
    <row r="558" spans="1:13" x14ac:dyDescent="0.35">
      <c r="A558" t="s">
        <v>923</v>
      </c>
      <c r="B558" t="s">
        <v>614</v>
      </c>
      <c r="C558" t="s">
        <v>89</v>
      </c>
      <c r="D558" s="2">
        <v>2010.38</v>
      </c>
      <c r="E558">
        <v>1</v>
      </c>
      <c r="F558">
        <v>0.3</v>
      </c>
      <c r="G558" t="s">
        <v>39</v>
      </c>
      <c r="H558" t="s">
        <v>15</v>
      </c>
      <c r="I558" t="s">
        <v>16</v>
      </c>
      <c r="J558" s="2">
        <f>Table1_1[[#This Row],[Sales]]-Table1_1[[#This Row],[Sales]]*Table1_1[[#This Row],[Discount]]</f>
        <v>1407.2660000000001</v>
      </c>
      <c r="K558" s="1">
        <v>45151</v>
      </c>
      <c r="L558" s="11">
        <v>45155</v>
      </c>
      <c r="M558">
        <f>DATEDIF(Table1_1[[#This Row],[Order Date]],Table1_1[[#This Row],[Ship Date]],"D")</f>
        <v>4</v>
      </c>
    </row>
    <row r="559" spans="1:13" x14ac:dyDescent="0.35">
      <c r="A559" t="s">
        <v>924</v>
      </c>
      <c r="B559" t="s">
        <v>189</v>
      </c>
      <c r="C559" t="s">
        <v>197</v>
      </c>
      <c r="D559" s="2">
        <v>4937.84</v>
      </c>
      <c r="E559">
        <v>7</v>
      </c>
      <c r="F559">
        <v>0.1</v>
      </c>
      <c r="G559" t="s">
        <v>14</v>
      </c>
      <c r="H559" t="s">
        <v>15</v>
      </c>
      <c r="I559" t="s">
        <v>20</v>
      </c>
      <c r="J559" s="2">
        <f>Table1_1[[#This Row],[Sales]]-Table1_1[[#This Row],[Sales]]*Table1_1[[#This Row],[Discount]]</f>
        <v>4444.0560000000005</v>
      </c>
      <c r="K559" s="1">
        <v>45551</v>
      </c>
      <c r="L559" s="11">
        <v>45554</v>
      </c>
      <c r="M559">
        <f>DATEDIF(Table1_1[[#This Row],[Order Date]],Table1_1[[#This Row],[Ship Date]],"D")</f>
        <v>3</v>
      </c>
    </row>
    <row r="560" spans="1:13" x14ac:dyDescent="0.35">
      <c r="A560" t="s">
        <v>925</v>
      </c>
      <c r="B560" t="s">
        <v>434</v>
      </c>
      <c r="C560" t="s">
        <v>113</v>
      </c>
      <c r="D560" s="2">
        <v>1245.44</v>
      </c>
      <c r="E560">
        <v>4</v>
      </c>
      <c r="F560">
        <v>0.1</v>
      </c>
      <c r="G560" t="s">
        <v>14</v>
      </c>
      <c r="H560" t="s">
        <v>15</v>
      </c>
      <c r="I560" t="s">
        <v>43</v>
      </c>
      <c r="J560" s="2">
        <f>Table1_1[[#This Row],[Sales]]-Table1_1[[#This Row],[Sales]]*Table1_1[[#This Row],[Discount]]</f>
        <v>1120.896</v>
      </c>
      <c r="K560" s="1">
        <v>45304</v>
      </c>
      <c r="L560" s="11">
        <v>45309</v>
      </c>
      <c r="M560">
        <f>DATEDIF(Table1_1[[#This Row],[Order Date]],Table1_1[[#This Row],[Ship Date]],"D")</f>
        <v>5</v>
      </c>
    </row>
    <row r="561" spans="1:13" x14ac:dyDescent="0.35">
      <c r="A561" t="s">
        <v>926</v>
      </c>
      <c r="B561" t="s">
        <v>866</v>
      </c>
      <c r="C561" t="s">
        <v>166</v>
      </c>
      <c r="D561" s="2">
        <v>4311.68</v>
      </c>
      <c r="E561">
        <v>4</v>
      </c>
      <c r="F561">
        <v>0</v>
      </c>
      <c r="G561" t="s">
        <v>39</v>
      </c>
      <c r="H561" t="s">
        <v>15</v>
      </c>
      <c r="I561" t="s">
        <v>20</v>
      </c>
      <c r="J561" s="2">
        <f>Table1_1[[#This Row],[Sales]]-Table1_1[[#This Row],[Sales]]*Table1_1[[#This Row],[Discount]]</f>
        <v>4311.68</v>
      </c>
      <c r="K561" s="1">
        <v>45734</v>
      </c>
      <c r="L561" s="11">
        <v>45738</v>
      </c>
      <c r="M561">
        <f>DATEDIF(Table1_1[[#This Row],[Order Date]],Table1_1[[#This Row],[Ship Date]],"D")</f>
        <v>4</v>
      </c>
    </row>
    <row r="562" spans="1:13" x14ac:dyDescent="0.35">
      <c r="A562" t="s">
        <v>927</v>
      </c>
      <c r="B562" t="s">
        <v>928</v>
      </c>
      <c r="C562" t="s">
        <v>357</v>
      </c>
      <c r="D562" s="2">
        <v>3966.96</v>
      </c>
      <c r="E562">
        <v>3</v>
      </c>
      <c r="F562">
        <v>0.2</v>
      </c>
      <c r="G562" t="s">
        <v>14</v>
      </c>
      <c r="H562" t="s">
        <v>15</v>
      </c>
      <c r="I562" t="s">
        <v>16</v>
      </c>
      <c r="J562" s="2">
        <f>Table1_1[[#This Row],[Sales]]-Table1_1[[#This Row],[Sales]]*Table1_1[[#This Row],[Discount]]</f>
        <v>3173.5680000000002</v>
      </c>
      <c r="K562" s="1">
        <v>45775</v>
      </c>
      <c r="L562" s="11">
        <v>45778</v>
      </c>
      <c r="M562">
        <f>DATEDIF(Table1_1[[#This Row],[Order Date]],Table1_1[[#This Row],[Ship Date]],"D")</f>
        <v>3</v>
      </c>
    </row>
    <row r="563" spans="1:13" x14ac:dyDescent="0.35">
      <c r="A563" t="s">
        <v>929</v>
      </c>
      <c r="B563" t="s">
        <v>349</v>
      </c>
      <c r="C563" t="s">
        <v>237</v>
      </c>
      <c r="D563" s="2">
        <v>2999.71</v>
      </c>
      <c r="E563">
        <v>5</v>
      </c>
      <c r="F563">
        <v>0.3</v>
      </c>
      <c r="G563" t="s">
        <v>39</v>
      </c>
      <c r="H563" t="s">
        <v>15</v>
      </c>
      <c r="I563" t="s">
        <v>20</v>
      </c>
      <c r="J563" s="2">
        <f>Table1_1[[#This Row],[Sales]]-Table1_1[[#This Row],[Sales]]*Table1_1[[#This Row],[Discount]]</f>
        <v>2099.797</v>
      </c>
      <c r="K563" s="1">
        <v>44992</v>
      </c>
      <c r="L563" s="11">
        <v>44997</v>
      </c>
      <c r="M563">
        <f>DATEDIF(Table1_1[[#This Row],[Order Date]],Table1_1[[#This Row],[Ship Date]],"D")</f>
        <v>5</v>
      </c>
    </row>
    <row r="564" spans="1:13" x14ac:dyDescent="0.35">
      <c r="A564" t="s">
        <v>930</v>
      </c>
      <c r="B564" t="s">
        <v>420</v>
      </c>
      <c r="C564" t="s">
        <v>511</v>
      </c>
      <c r="D564" s="2">
        <v>4911.37</v>
      </c>
      <c r="E564">
        <v>9</v>
      </c>
      <c r="F564">
        <v>0</v>
      </c>
      <c r="G564" t="s">
        <v>14</v>
      </c>
      <c r="H564" t="s">
        <v>15</v>
      </c>
      <c r="I564" t="s">
        <v>43</v>
      </c>
      <c r="J564" s="2">
        <f>Table1_1[[#This Row],[Sales]]-Table1_1[[#This Row],[Sales]]*Table1_1[[#This Row],[Discount]]</f>
        <v>4911.37</v>
      </c>
      <c r="K564" s="1">
        <v>45325</v>
      </c>
      <c r="L564" s="11">
        <v>45327</v>
      </c>
      <c r="M564">
        <f>DATEDIF(Table1_1[[#This Row],[Order Date]],Table1_1[[#This Row],[Ship Date]],"D")</f>
        <v>2</v>
      </c>
    </row>
    <row r="565" spans="1:13" x14ac:dyDescent="0.35">
      <c r="A565" t="s">
        <v>931</v>
      </c>
      <c r="B565" t="s">
        <v>306</v>
      </c>
      <c r="C565" t="s">
        <v>94</v>
      </c>
      <c r="D565" s="2">
        <v>2716.11</v>
      </c>
      <c r="E565">
        <v>10</v>
      </c>
      <c r="F565">
        <v>0</v>
      </c>
      <c r="G565" t="s">
        <v>39</v>
      </c>
      <c r="H565" t="s">
        <v>21</v>
      </c>
      <c r="I565" t="s">
        <v>16</v>
      </c>
      <c r="J565" s="2">
        <f>Table1_1[[#This Row],[Sales]]-Table1_1[[#This Row],[Sales]]*Table1_1[[#This Row],[Discount]]</f>
        <v>2716.11</v>
      </c>
      <c r="K565" s="1">
        <v>45822</v>
      </c>
      <c r="L565" s="11">
        <v>45825</v>
      </c>
      <c r="M565">
        <f>DATEDIF(Table1_1[[#This Row],[Order Date]],Table1_1[[#This Row],[Ship Date]],"D")</f>
        <v>3</v>
      </c>
    </row>
    <row r="566" spans="1:13" x14ac:dyDescent="0.35">
      <c r="A566" t="s">
        <v>932</v>
      </c>
      <c r="B566" t="s">
        <v>933</v>
      </c>
      <c r="C566" t="s">
        <v>450</v>
      </c>
      <c r="D566" s="2">
        <v>909.45</v>
      </c>
      <c r="E566">
        <v>4</v>
      </c>
      <c r="F566">
        <v>0.3</v>
      </c>
      <c r="G566" t="s">
        <v>14</v>
      </c>
      <c r="H566" t="s">
        <v>21</v>
      </c>
      <c r="I566" t="s">
        <v>43</v>
      </c>
      <c r="J566" s="2">
        <f>Table1_1[[#This Row],[Sales]]-Table1_1[[#This Row],[Sales]]*Table1_1[[#This Row],[Discount]]</f>
        <v>636.61500000000001</v>
      </c>
      <c r="K566" s="1">
        <v>45611</v>
      </c>
      <c r="L566" s="11">
        <v>45615</v>
      </c>
      <c r="M566">
        <f>DATEDIF(Table1_1[[#This Row],[Order Date]],Table1_1[[#This Row],[Ship Date]],"D")</f>
        <v>4</v>
      </c>
    </row>
    <row r="567" spans="1:13" x14ac:dyDescent="0.35">
      <c r="A567" t="s">
        <v>934</v>
      </c>
      <c r="B567" t="s">
        <v>303</v>
      </c>
      <c r="C567" t="s">
        <v>82</v>
      </c>
      <c r="D567" s="2">
        <v>1002.91</v>
      </c>
      <c r="E567">
        <v>7</v>
      </c>
      <c r="F567">
        <v>0.1</v>
      </c>
      <c r="G567" t="s">
        <v>39</v>
      </c>
      <c r="H567" t="s">
        <v>21</v>
      </c>
      <c r="I567" t="s">
        <v>43</v>
      </c>
      <c r="J567" s="2">
        <f>Table1_1[[#This Row],[Sales]]-Table1_1[[#This Row],[Sales]]*Table1_1[[#This Row],[Discount]]</f>
        <v>902.61899999999991</v>
      </c>
      <c r="K567" s="1">
        <v>45643</v>
      </c>
      <c r="L567" s="11">
        <v>45645</v>
      </c>
      <c r="M567">
        <f>DATEDIF(Table1_1[[#This Row],[Order Date]],Table1_1[[#This Row],[Ship Date]],"D")</f>
        <v>2</v>
      </c>
    </row>
    <row r="568" spans="1:13" x14ac:dyDescent="0.35">
      <c r="A568" t="s">
        <v>935</v>
      </c>
      <c r="B568" t="s">
        <v>299</v>
      </c>
      <c r="C568" t="s">
        <v>511</v>
      </c>
      <c r="D568" s="2">
        <v>1809.55</v>
      </c>
      <c r="E568">
        <v>6</v>
      </c>
      <c r="F568">
        <v>0</v>
      </c>
      <c r="G568" t="s">
        <v>14</v>
      </c>
      <c r="H568" t="s">
        <v>21</v>
      </c>
      <c r="I568" t="s">
        <v>20</v>
      </c>
      <c r="J568" s="2">
        <f>Table1_1[[#This Row],[Sales]]-Table1_1[[#This Row],[Sales]]*Table1_1[[#This Row],[Discount]]</f>
        <v>1809.55</v>
      </c>
      <c r="K568" s="1">
        <v>45388</v>
      </c>
      <c r="L568" s="11">
        <v>45391</v>
      </c>
      <c r="M568">
        <f>DATEDIF(Table1_1[[#This Row],[Order Date]],Table1_1[[#This Row],[Ship Date]],"D")</f>
        <v>3</v>
      </c>
    </row>
    <row r="569" spans="1:13" x14ac:dyDescent="0.35">
      <c r="A569" t="s">
        <v>936</v>
      </c>
      <c r="B569" t="s">
        <v>474</v>
      </c>
      <c r="C569" t="s">
        <v>194</v>
      </c>
      <c r="D569" s="2">
        <v>3512.99</v>
      </c>
      <c r="E569">
        <v>9</v>
      </c>
      <c r="F569">
        <v>0.1</v>
      </c>
      <c r="G569" t="s">
        <v>39</v>
      </c>
      <c r="H569" t="s">
        <v>15</v>
      </c>
      <c r="I569" t="s">
        <v>20</v>
      </c>
      <c r="J569" s="2">
        <f>Table1_1[[#This Row],[Sales]]-Table1_1[[#This Row],[Sales]]*Table1_1[[#This Row],[Discount]]</f>
        <v>3161.6909999999998</v>
      </c>
      <c r="K569" s="1">
        <v>45548</v>
      </c>
      <c r="L569" s="11">
        <v>45551</v>
      </c>
      <c r="M569">
        <f>DATEDIF(Table1_1[[#This Row],[Order Date]],Table1_1[[#This Row],[Ship Date]],"D")</f>
        <v>3</v>
      </c>
    </row>
    <row r="570" spans="1:13" x14ac:dyDescent="0.35">
      <c r="A570" t="s">
        <v>937</v>
      </c>
      <c r="B570" t="s">
        <v>466</v>
      </c>
      <c r="C570" t="s">
        <v>146</v>
      </c>
      <c r="D570" s="2">
        <v>3526.99</v>
      </c>
      <c r="E570">
        <v>4</v>
      </c>
      <c r="F570">
        <v>0.2</v>
      </c>
      <c r="G570" t="s">
        <v>14</v>
      </c>
      <c r="H570" t="s">
        <v>21</v>
      </c>
      <c r="I570" t="s">
        <v>43</v>
      </c>
      <c r="J570" s="2">
        <f>Table1_1[[#This Row],[Sales]]-Table1_1[[#This Row],[Sales]]*Table1_1[[#This Row],[Discount]]</f>
        <v>2821.5919999999996</v>
      </c>
      <c r="K570" s="1">
        <v>45482</v>
      </c>
      <c r="L570" s="11">
        <v>45484</v>
      </c>
      <c r="M570">
        <f>DATEDIF(Table1_1[[#This Row],[Order Date]],Table1_1[[#This Row],[Ship Date]],"D")</f>
        <v>2</v>
      </c>
    </row>
    <row r="571" spans="1:13" x14ac:dyDescent="0.35">
      <c r="A571" t="s">
        <v>938</v>
      </c>
      <c r="B571" t="s">
        <v>928</v>
      </c>
      <c r="C571" t="s">
        <v>911</v>
      </c>
      <c r="D571" s="2">
        <v>2467.13</v>
      </c>
      <c r="E571">
        <v>6</v>
      </c>
      <c r="F571">
        <v>0.3</v>
      </c>
      <c r="G571" t="s">
        <v>14</v>
      </c>
      <c r="H571" t="s">
        <v>21</v>
      </c>
      <c r="I571" t="s">
        <v>20</v>
      </c>
      <c r="J571" s="2">
        <f>Table1_1[[#This Row],[Sales]]-Table1_1[[#This Row],[Sales]]*Table1_1[[#This Row],[Discount]]</f>
        <v>1726.991</v>
      </c>
      <c r="K571" s="1">
        <v>45302</v>
      </c>
      <c r="L571" s="11">
        <v>45304</v>
      </c>
      <c r="M571">
        <f>DATEDIF(Table1_1[[#This Row],[Order Date]],Table1_1[[#This Row],[Ship Date]],"D")</f>
        <v>2</v>
      </c>
    </row>
    <row r="572" spans="1:13" x14ac:dyDescent="0.35">
      <c r="A572" t="s">
        <v>939</v>
      </c>
      <c r="B572" t="s">
        <v>940</v>
      </c>
      <c r="C572" t="s">
        <v>229</v>
      </c>
      <c r="D572" s="2">
        <v>3748.95</v>
      </c>
      <c r="E572">
        <v>9</v>
      </c>
      <c r="F572">
        <v>0.2</v>
      </c>
      <c r="G572" t="s">
        <v>19</v>
      </c>
      <c r="H572" t="s">
        <v>21</v>
      </c>
      <c r="I572" t="s">
        <v>43</v>
      </c>
      <c r="J572" s="2">
        <f>Table1_1[[#This Row],[Sales]]-Table1_1[[#This Row],[Sales]]*Table1_1[[#This Row],[Discount]]</f>
        <v>2999.16</v>
      </c>
      <c r="K572" s="1">
        <v>45225</v>
      </c>
      <c r="L572" s="11">
        <v>45227</v>
      </c>
      <c r="M572">
        <f>DATEDIF(Table1_1[[#This Row],[Order Date]],Table1_1[[#This Row],[Ship Date]],"D")</f>
        <v>2</v>
      </c>
    </row>
    <row r="573" spans="1:13" x14ac:dyDescent="0.35">
      <c r="A573" t="s">
        <v>941</v>
      </c>
      <c r="B573" t="s">
        <v>942</v>
      </c>
      <c r="C573" t="s">
        <v>624</v>
      </c>
      <c r="D573" s="2">
        <v>933.65</v>
      </c>
      <c r="E573">
        <v>2</v>
      </c>
      <c r="F573">
        <v>0.2</v>
      </c>
      <c r="G573" t="s">
        <v>14</v>
      </c>
      <c r="H573" t="s">
        <v>15</v>
      </c>
      <c r="I573" t="s">
        <v>16</v>
      </c>
      <c r="J573" s="2">
        <f>Table1_1[[#This Row],[Sales]]-Table1_1[[#This Row],[Sales]]*Table1_1[[#This Row],[Discount]]</f>
        <v>746.92</v>
      </c>
      <c r="K573" s="1">
        <v>45242</v>
      </c>
      <c r="L573" s="11">
        <v>45247</v>
      </c>
      <c r="M573">
        <f>DATEDIF(Table1_1[[#This Row],[Order Date]],Table1_1[[#This Row],[Ship Date]],"D")</f>
        <v>5</v>
      </c>
    </row>
    <row r="574" spans="1:13" x14ac:dyDescent="0.35">
      <c r="A574" t="s">
        <v>943</v>
      </c>
      <c r="B574" t="s">
        <v>590</v>
      </c>
      <c r="C574" t="s">
        <v>135</v>
      </c>
      <c r="D574" s="2">
        <v>3934.77</v>
      </c>
      <c r="E574">
        <v>7</v>
      </c>
      <c r="F574">
        <v>0.3</v>
      </c>
      <c r="G574" t="s">
        <v>19</v>
      </c>
      <c r="H574" t="s">
        <v>21</v>
      </c>
      <c r="I574" t="s">
        <v>43</v>
      </c>
      <c r="J574" s="2">
        <f>Table1_1[[#This Row],[Sales]]-Table1_1[[#This Row],[Sales]]*Table1_1[[#This Row],[Discount]]</f>
        <v>2754.3389999999999</v>
      </c>
      <c r="K574" s="1">
        <v>45597</v>
      </c>
      <c r="L574" s="11">
        <v>45599</v>
      </c>
      <c r="M574">
        <f>DATEDIF(Table1_1[[#This Row],[Order Date]],Table1_1[[#This Row],[Ship Date]],"D")</f>
        <v>2</v>
      </c>
    </row>
    <row r="575" spans="1:13" x14ac:dyDescent="0.35">
      <c r="A575" t="s">
        <v>944</v>
      </c>
      <c r="B575" t="s">
        <v>72</v>
      </c>
      <c r="C575" t="s">
        <v>113</v>
      </c>
      <c r="D575" s="2">
        <v>3993.8</v>
      </c>
      <c r="E575">
        <v>2</v>
      </c>
      <c r="F575">
        <v>0.2</v>
      </c>
      <c r="G575" t="s">
        <v>14</v>
      </c>
      <c r="H575" t="s">
        <v>15</v>
      </c>
      <c r="I575" t="s">
        <v>20</v>
      </c>
      <c r="J575" s="2">
        <f>Table1_1[[#This Row],[Sales]]-Table1_1[[#This Row],[Sales]]*Table1_1[[#This Row],[Discount]]</f>
        <v>3195.04</v>
      </c>
      <c r="K575" s="1">
        <v>45471</v>
      </c>
      <c r="L575" s="11">
        <v>45476</v>
      </c>
      <c r="M575">
        <f>DATEDIF(Table1_1[[#This Row],[Order Date]],Table1_1[[#This Row],[Ship Date]],"D")</f>
        <v>5</v>
      </c>
    </row>
    <row r="576" spans="1:13" x14ac:dyDescent="0.35">
      <c r="A576" t="s">
        <v>945</v>
      </c>
      <c r="B576" t="s">
        <v>122</v>
      </c>
      <c r="C576" t="s">
        <v>91</v>
      </c>
      <c r="D576" s="2">
        <v>3838.7</v>
      </c>
      <c r="E576">
        <v>8</v>
      </c>
      <c r="F576">
        <v>0.1</v>
      </c>
      <c r="G576" t="s">
        <v>39</v>
      </c>
      <c r="H576" t="s">
        <v>15</v>
      </c>
      <c r="I576" t="s">
        <v>16</v>
      </c>
      <c r="J576" s="2">
        <f>Table1_1[[#This Row],[Sales]]-Table1_1[[#This Row],[Sales]]*Table1_1[[#This Row],[Discount]]</f>
        <v>3454.83</v>
      </c>
      <c r="K576" s="1">
        <v>45362</v>
      </c>
      <c r="L576" s="11">
        <v>45363</v>
      </c>
      <c r="M576">
        <f>DATEDIF(Table1_1[[#This Row],[Order Date]],Table1_1[[#This Row],[Ship Date]],"D")</f>
        <v>1</v>
      </c>
    </row>
    <row r="577" spans="1:13" x14ac:dyDescent="0.35">
      <c r="A577" t="s">
        <v>946</v>
      </c>
      <c r="B577" t="s">
        <v>522</v>
      </c>
      <c r="C577" t="s">
        <v>73</v>
      </c>
      <c r="D577" s="2">
        <v>3212.87</v>
      </c>
      <c r="E577">
        <v>8</v>
      </c>
      <c r="F577">
        <v>0.1</v>
      </c>
      <c r="G577" t="s">
        <v>14</v>
      </c>
      <c r="H577" t="s">
        <v>15</v>
      </c>
      <c r="I577" t="s">
        <v>16</v>
      </c>
      <c r="J577" s="2">
        <f>Table1_1[[#This Row],[Sales]]-Table1_1[[#This Row],[Sales]]*Table1_1[[#This Row],[Discount]]</f>
        <v>2891.5829999999996</v>
      </c>
      <c r="K577" s="1">
        <v>45100</v>
      </c>
      <c r="L577" s="11">
        <v>45103</v>
      </c>
      <c r="M577">
        <f>DATEDIF(Table1_1[[#This Row],[Order Date]],Table1_1[[#This Row],[Ship Date]],"D")</f>
        <v>3</v>
      </c>
    </row>
    <row r="578" spans="1:13" x14ac:dyDescent="0.35">
      <c r="A578" t="s">
        <v>947</v>
      </c>
      <c r="B578" t="s">
        <v>56</v>
      </c>
      <c r="C578" t="s">
        <v>82</v>
      </c>
      <c r="D578" s="2">
        <v>1667.07</v>
      </c>
      <c r="E578">
        <v>10</v>
      </c>
      <c r="F578">
        <v>0.1</v>
      </c>
      <c r="G578" t="s">
        <v>19</v>
      </c>
      <c r="H578" t="s">
        <v>21</v>
      </c>
      <c r="I578" t="s">
        <v>43</v>
      </c>
      <c r="J578" s="2">
        <f>Table1_1[[#This Row],[Sales]]-Table1_1[[#This Row],[Sales]]*Table1_1[[#This Row],[Discount]]</f>
        <v>1500.3629999999998</v>
      </c>
      <c r="K578" s="1">
        <v>44970</v>
      </c>
      <c r="L578" s="11">
        <v>44971</v>
      </c>
      <c r="M578">
        <f>DATEDIF(Table1_1[[#This Row],[Order Date]],Table1_1[[#This Row],[Ship Date]],"D")</f>
        <v>1</v>
      </c>
    </row>
    <row r="579" spans="1:13" x14ac:dyDescent="0.35">
      <c r="A579" t="s">
        <v>948</v>
      </c>
      <c r="B579" t="s">
        <v>949</v>
      </c>
      <c r="C579" t="s">
        <v>166</v>
      </c>
      <c r="D579" s="2">
        <v>3172.36</v>
      </c>
      <c r="E579">
        <v>4</v>
      </c>
      <c r="F579">
        <v>0</v>
      </c>
      <c r="G579" t="s">
        <v>39</v>
      </c>
      <c r="H579" t="s">
        <v>21</v>
      </c>
      <c r="I579" t="s">
        <v>43</v>
      </c>
      <c r="J579" s="2">
        <f>Table1_1[[#This Row],[Sales]]-Table1_1[[#This Row],[Sales]]*Table1_1[[#This Row],[Discount]]</f>
        <v>3172.36</v>
      </c>
      <c r="K579" s="1">
        <v>45425</v>
      </c>
      <c r="L579" s="11">
        <v>45429</v>
      </c>
      <c r="M579">
        <f>DATEDIF(Table1_1[[#This Row],[Order Date]],Table1_1[[#This Row],[Ship Date]],"D")</f>
        <v>4</v>
      </c>
    </row>
    <row r="580" spans="1:13" x14ac:dyDescent="0.35">
      <c r="A580" t="s">
        <v>950</v>
      </c>
      <c r="B580" t="s">
        <v>124</v>
      </c>
      <c r="C580" t="s">
        <v>204</v>
      </c>
      <c r="D580" s="2">
        <v>217.62</v>
      </c>
      <c r="E580">
        <v>8</v>
      </c>
      <c r="F580">
        <v>0</v>
      </c>
      <c r="G580" t="s">
        <v>14</v>
      </c>
      <c r="H580" t="s">
        <v>15</v>
      </c>
      <c r="I580" t="s">
        <v>20</v>
      </c>
      <c r="J580" s="2">
        <f>Table1_1[[#This Row],[Sales]]-Table1_1[[#This Row],[Sales]]*Table1_1[[#This Row],[Discount]]</f>
        <v>217.62</v>
      </c>
      <c r="K580" s="1">
        <v>44982</v>
      </c>
      <c r="L580" s="11">
        <v>44984</v>
      </c>
      <c r="M580">
        <f>DATEDIF(Table1_1[[#This Row],[Order Date]],Table1_1[[#This Row],[Ship Date]],"D")</f>
        <v>2</v>
      </c>
    </row>
    <row r="581" spans="1:13" x14ac:dyDescent="0.35">
      <c r="A581" t="s">
        <v>951</v>
      </c>
      <c r="B581" t="s">
        <v>528</v>
      </c>
      <c r="C581" t="s">
        <v>243</v>
      </c>
      <c r="D581" s="2">
        <v>4066.84</v>
      </c>
      <c r="E581">
        <v>2</v>
      </c>
      <c r="F581">
        <v>0.1</v>
      </c>
      <c r="G581" t="s">
        <v>39</v>
      </c>
      <c r="H581" t="s">
        <v>15</v>
      </c>
      <c r="I581" t="s">
        <v>20</v>
      </c>
      <c r="J581" s="2">
        <f>Table1_1[[#This Row],[Sales]]-Table1_1[[#This Row],[Sales]]*Table1_1[[#This Row],[Discount]]</f>
        <v>3660.1559999999999</v>
      </c>
      <c r="K581" s="1">
        <v>45243</v>
      </c>
      <c r="L581" s="11">
        <v>45249</v>
      </c>
      <c r="M581">
        <f>DATEDIF(Table1_1[[#This Row],[Order Date]],Table1_1[[#This Row],[Ship Date]],"D")</f>
        <v>6</v>
      </c>
    </row>
    <row r="582" spans="1:13" x14ac:dyDescent="0.35">
      <c r="A582" t="s">
        <v>952</v>
      </c>
      <c r="B582" t="s">
        <v>76</v>
      </c>
      <c r="C582" t="s">
        <v>443</v>
      </c>
      <c r="D582" s="2">
        <v>2800.97</v>
      </c>
      <c r="E582">
        <v>2</v>
      </c>
      <c r="F582">
        <v>0</v>
      </c>
      <c r="G582" t="s">
        <v>39</v>
      </c>
      <c r="H582" t="s">
        <v>21</v>
      </c>
      <c r="I582" t="s">
        <v>43</v>
      </c>
      <c r="J582" s="2">
        <f>Table1_1[[#This Row],[Sales]]-Table1_1[[#This Row],[Sales]]*Table1_1[[#This Row],[Discount]]</f>
        <v>2800.97</v>
      </c>
      <c r="K582" s="1">
        <v>45111</v>
      </c>
      <c r="L582" s="11">
        <v>45118</v>
      </c>
      <c r="M582">
        <f>DATEDIF(Table1_1[[#This Row],[Order Date]],Table1_1[[#This Row],[Ship Date]],"D")</f>
        <v>7</v>
      </c>
    </row>
    <row r="583" spans="1:13" x14ac:dyDescent="0.35">
      <c r="A583" t="s">
        <v>953</v>
      </c>
      <c r="B583" t="s">
        <v>12</v>
      </c>
      <c r="C583" t="s">
        <v>211</v>
      </c>
      <c r="D583" s="2">
        <v>1307.3800000000001</v>
      </c>
      <c r="E583">
        <v>6</v>
      </c>
      <c r="F583">
        <v>0.1</v>
      </c>
      <c r="G583" t="s">
        <v>39</v>
      </c>
      <c r="H583" t="s">
        <v>15</v>
      </c>
      <c r="I583" t="s">
        <v>16</v>
      </c>
      <c r="J583" s="2">
        <f>Table1_1[[#This Row],[Sales]]-Table1_1[[#This Row],[Sales]]*Table1_1[[#This Row],[Discount]]</f>
        <v>1176.6420000000001</v>
      </c>
      <c r="K583" s="1">
        <v>44997</v>
      </c>
      <c r="L583" s="11">
        <v>45004</v>
      </c>
      <c r="M583">
        <f>DATEDIF(Table1_1[[#This Row],[Order Date]],Table1_1[[#This Row],[Ship Date]],"D")</f>
        <v>7</v>
      </c>
    </row>
    <row r="584" spans="1:13" x14ac:dyDescent="0.35">
      <c r="A584" t="s">
        <v>954</v>
      </c>
      <c r="B584" t="s">
        <v>280</v>
      </c>
      <c r="C584" t="s">
        <v>246</v>
      </c>
      <c r="D584" s="2">
        <v>2289.9699999999998</v>
      </c>
      <c r="E584">
        <v>3</v>
      </c>
      <c r="F584">
        <v>0.2</v>
      </c>
      <c r="G584" t="s">
        <v>14</v>
      </c>
      <c r="H584" t="s">
        <v>15</v>
      </c>
      <c r="I584" t="s">
        <v>20</v>
      </c>
      <c r="J584" s="2">
        <f>Table1_1[[#This Row],[Sales]]-Table1_1[[#This Row],[Sales]]*Table1_1[[#This Row],[Discount]]</f>
        <v>1831.9759999999999</v>
      </c>
      <c r="K584" s="1">
        <v>45340</v>
      </c>
      <c r="L584" s="11">
        <v>45345</v>
      </c>
      <c r="M584">
        <f>DATEDIF(Table1_1[[#This Row],[Order Date]],Table1_1[[#This Row],[Ship Date]],"D")</f>
        <v>5</v>
      </c>
    </row>
    <row r="585" spans="1:13" x14ac:dyDescent="0.35">
      <c r="A585" t="s">
        <v>955</v>
      </c>
      <c r="B585" t="s">
        <v>79</v>
      </c>
      <c r="C585" t="s">
        <v>357</v>
      </c>
      <c r="D585" s="2">
        <v>4605.2299999999996</v>
      </c>
      <c r="E585">
        <v>4</v>
      </c>
      <c r="F585">
        <v>0.1</v>
      </c>
      <c r="G585" t="s">
        <v>14</v>
      </c>
      <c r="H585" t="s">
        <v>15</v>
      </c>
      <c r="I585" t="s">
        <v>20</v>
      </c>
      <c r="J585" s="2">
        <f>Table1_1[[#This Row],[Sales]]-Table1_1[[#This Row],[Sales]]*Table1_1[[#This Row],[Discount]]</f>
        <v>4144.7069999999994</v>
      </c>
      <c r="K585" s="1">
        <v>45265</v>
      </c>
      <c r="L585" s="11">
        <v>45270</v>
      </c>
      <c r="M585">
        <f>DATEDIF(Table1_1[[#This Row],[Order Date]],Table1_1[[#This Row],[Ship Date]],"D")</f>
        <v>5</v>
      </c>
    </row>
    <row r="586" spans="1:13" x14ac:dyDescent="0.35">
      <c r="A586" t="s">
        <v>956</v>
      </c>
      <c r="B586" t="s">
        <v>577</v>
      </c>
      <c r="C586" t="s">
        <v>128</v>
      </c>
      <c r="D586" s="2">
        <v>453.86</v>
      </c>
      <c r="E586">
        <v>8</v>
      </c>
      <c r="F586">
        <v>0.2</v>
      </c>
      <c r="G586" t="s">
        <v>14</v>
      </c>
      <c r="H586" t="s">
        <v>21</v>
      </c>
      <c r="I586" t="s">
        <v>16</v>
      </c>
      <c r="J586" s="2">
        <f>Table1_1[[#This Row],[Sales]]-Table1_1[[#This Row],[Sales]]*Table1_1[[#This Row],[Discount]]</f>
        <v>363.08800000000002</v>
      </c>
      <c r="K586" s="1">
        <v>45552</v>
      </c>
      <c r="L586" s="11">
        <v>45558</v>
      </c>
      <c r="M586">
        <f>DATEDIF(Table1_1[[#This Row],[Order Date]],Table1_1[[#This Row],[Ship Date]],"D")</f>
        <v>6</v>
      </c>
    </row>
    <row r="587" spans="1:13" x14ac:dyDescent="0.35">
      <c r="A587" t="s">
        <v>957</v>
      </c>
      <c r="B587" t="s">
        <v>54</v>
      </c>
      <c r="C587" t="s">
        <v>911</v>
      </c>
      <c r="D587" s="2">
        <v>3952.65</v>
      </c>
      <c r="E587">
        <v>4</v>
      </c>
      <c r="F587">
        <v>0</v>
      </c>
      <c r="G587" t="s">
        <v>14</v>
      </c>
      <c r="H587" t="s">
        <v>21</v>
      </c>
      <c r="I587" t="s">
        <v>20</v>
      </c>
      <c r="J587" s="2">
        <f>Table1_1[[#This Row],[Sales]]-Table1_1[[#This Row],[Sales]]*Table1_1[[#This Row],[Discount]]</f>
        <v>3952.65</v>
      </c>
      <c r="K587" s="1">
        <v>45182</v>
      </c>
      <c r="L587" s="11">
        <v>45184</v>
      </c>
      <c r="M587">
        <f>DATEDIF(Table1_1[[#This Row],[Order Date]],Table1_1[[#This Row],[Ship Date]],"D")</f>
        <v>2</v>
      </c>
    </row>
    <row r="588" spans="1:13" x14ac:dyDescent="0.35">
      <c r="A588" t="s">
        <v>958</v>
      </c>
      <c r="B588" t="s">
        <v>64</v>
      </c>
      <c r="C588" t="s">
        <v>163</v>
      </c>
      <c r="D588" s="2">
        <v>2289.08</v>
      </c>
      <c r="E588">
        <v>2</v>
      </c>
      <c r="F588">
        <v>0.2</v>
      </c>
      <c r="G588" t="s">
        <v>14</v>
      </c>
      <c r="H588" t="s">
        <v>21</v>
      </c>
      <c r="I588" t="s">
        <v>43</v>
      </c>
      <c r="J588" s="2">
        <f>Table1_1[[#This Row],[Sales]]-Table1_1[[#This Row],[Sales]]*Table1_1[[#This Row],[Discount]]</f>
        <v>1831.2639999999999</v>
      </c>
      <c r="K588" s="1">
        <v>45367</v>
      </c>
      <c r="L588" s="11">
        <v>45370</v>
      </c>
      <c r="M588">
        <f>DATEDIF(Table1_1[[#This Row],[Order Date]],Table1_1[[#This Row],[Ship Date]],"D")</f>
        <v>3</v>
      </c>
    </row>
    <row r="589" spans="1:13" x14ac:dyDescent="0.35">
      <c r="A589" t="s">
        <v>959</v>
      </c>
      <c r="B589" t="s">
        <v>225</v>
      </c>
      <c r="C589" t="s">
        <v>726</v>
      </c>
      <c r="D589" s="2">
        <v>2535.63</v>
      </c>
      <c r="E589">
        <v>7</v>
      </c>
      <c r="F589">
        <v>0</v>
      </c>
      <c r="G589" t="s">
        <v>14</v>
      </c>
      <c r="H589" t="s">
        <v>21</v>
      </c>
      <c r="I589" t="s">
        <v>20</v>
      </c>
      <c r="J589" s="2">
        <f>Table1_1[[#This Row],[Sales]]-Table1_1[[#This Row],[Sales]]*Table1_1[[#This Row],[Discount]]</f>
        <v>2535.63</v>
      </c>
      <c r="K589" s="1">
        <v>45306</v>
      </c>
      <c r="L589" s="11">
        <v>45310</v>
      </c>
      <c r="M589">
        <f>DATEDIF(Table1_1[[#This Row],[Order Date]],Table1_1[[#This Row],[Ship Date]],"D")</f>
        <v>4</v>
      </c>
    </row>
    <row r="590" spans="1:13" x14ac:dyDescent="0.35">
      <c r="A590" t="s">
        <v>960</v>
      </c>
      <c r="B590" t="s">
        <v>67</v>
      </c>
      <c r="C590" t="s">
        <v>148</v>
      </c>
      <c r="D590" s="2">
        <v>3152.47</v>
      </c>
      <c r="E590">
        <v>4</v>
      </c>
      <c r="F590">
        <v>0</v>
      </c>
      <c r="G590" t="s">
        <v>19</v>
      </c>
      <c r="H590" t="s">
        <v>21</v>
      </c>
      <c r="I590" t="s">
        <v>43</v>
      </c>
      <c r="J590" s="2">
        <f>Table1_1[[#This Row],[Sales]]-Table1_1[[#This Row],[Sales]]*Table1_1[[#This Row],[Discount]]</f>
        <v>3152.47</v>
      </c>
      <c r="K590" s="1">
        <v>45337</v>
      </c>
      <c r="L590" s="11">
        <v>45342</v>
      </c>
      <c r="M590">
        <f>DATEDIF(Table1_1[[#This Row],[Order Date]],Table1_1[[#This Row],[Ship Date]],"D")</f>
        <v>5</v>
      </c>
    </row>
    <row r="591" spans="1:13" x14ac:dyDescent="0.35">
      <c r="A591" t="s">
        <v>961</v>
      </c>
      <c r="B591" t="s">
        <v>796</v>
      </c>
      <c r="C591" t="s">
        <v>273</v>
      </c>
      <c r="D591" s="2">
        <v>3493.36</v>
      </c>
      <c r="E591">
        <v>7</v>
      </c>
      <c r="F591">
        <v>0.2</v>
      </c>
      <c r="G591" t="s">
        <v>39</v>
      </c>
      <c r="H591" t="s">
        <v>15</v>
      </c>
      <c r="I591" t="s">
        <v>16</v>
      </c>
      <c r="J591" s="2">
        <f>Table1_1[[#This Row],[Sales]]-Table1_1[[#This Row],[Sales]]*Table1_1[[#This Row],[Discount]]</f>
        <v>2794.6880000000001</v>
      </c>
      <c r="K591" s="1">
        <v>45475</v>
      </c>
      <c r="L591" s="11">
        <v>45482</v>
      </c>
      <c r="M591">
        <f>DATEDIF(Table1_1[[#This Row],[Order Date]],Table1_1[[#This Row],[Ship Date]],"D")</f>
        <v>7</v>
      </c>
    </row>
    <row r="592" spans="1:13" x14ac:dyDescent="0.35">
      <c r="A592" t="s">
        <v>962</v>
      </c>
      <c r="B592" t="s">
        <v>52</v>
      </c>
      <c r="C592" t="s">
        <v>237</v>
      </c>
      <c r="D592" s="2">
        <v>1644.98</v>
      </c>
      <c r="E592">
        <v>6</v>
      </c>
      <c r="F592">
        <v>0.2</v>
      </c>
      <c r="G592" t="s">
        <v>39</v>
      </c>
      <c r="H592" t="s">
        <v>21</v>
      </c>
      <c r="I592" t="s">
        <v>43</v>
      </c>
      <c r="J592" s="2">
        <f>Table1_1[[#This Row],[Sales]]-Table1_1[[#This Row],[Sales]]*Table1_1[[#This Row],[Discount]]</f>
        <v>1315.9839999999999</v>
      </c>
      <c r="K592" s="1">
        <v>45243</v>
      </c>
      <c r="L592" s="11">
        <v>45246</v>
      </c>
      <c r="M592">
        <f>DATEDIF(Table1_1[[#This Row],[Order Date]],Table1_1[[#This Row],[Ship Date]],"D")</f>
        <v>3</v>
      </c>
    </row>
    <row r="593" spans="1:13" x14ac:dyDescent="0.35">
      <c r="A593" t="s">
        <v>963</v>
      </c>
      <c r="B593" t="s">
        <v>964</v>
      </c>
      <c r="C593" t="s">
        <v>175</v>
      </c>
      <c r="D593" s="2">
        <v>2910.11</v>
      </c>
      <c r="E593">
        <v>6</v>
      </c>
      <c r="F593">
        <v>0</v>
      </c>
      <c r="G593" t="s">
        <v>14</v>
      </c>
      <c r="H593" t="s">
        <v>15</v>
      </c>
      <c r="I593" t="s">
        <v>20</v>
      </c>
      <c r="J593" s="2">
        <f>Table1_1[[#This Row],[Sales]]-Table1_1[[#This Row],[Sales]]*Table1_1[[#This Row],[Discount]]</f>
        <v>2910.11</v>
      </c>
      <c r="K593" s="1">
        <v>45613</v>
      </c>
      <c r="L593" s="11">
        <v>45614</v>
      </c>
      <c r="M593">
        <f>DATEDIF(Table1_1[[#This Row],[Order Date]],Table1_1[[#This Row],[Ship Date]],"D")</f>
        <v>1</v>
      </c>
    </row>
    <row r="594" spans="1:13" x14ac:dyDescent="0.35">
      <c r="A594" t="s">
        <v>965</v>
      </c>
      <c r="B594" t="s">
        <v>394</v>
      </c>
      <c r="C594" t="s">
        <v>160</v>
      </c>
      <c r="D594" s="2">
        <v>3464.87</v>
      </c>
      <c r="E594">
        <v>9</v>
      </c>
      <c r="F594">
        <v>0.1</v>
      </c>
      <c r="G594" t="s">
        <v>19</v>
      </c>
      <c r="H594" t="s">
        <v>21</v>
      </c>
      <c r="I594" t="s">
        <v>16</v>
      </c>
      <c r="J594" s="2">
        <f>Table1_1[[#This Row],[Sales]]-Table1_1[[#This Row],[Sales]]*Table1_1[[#This Row],[Discount]]</f>
        <v>3118.3829999999998</v>
      </c>
      <c r="K594" s="1">
        <v>45323</v>
      </c>
      <c r="L594" s="11">
        <v>45326</v>
      </c>
      <c r="M594">
        <f>DATEDIF(Table1_1[[#This Row],[Order Date]],Table1_1[[#This Row],[Ship Date]],"D")</f>
        <v>3</v>
      </c>
    </row>
    <row r="595" spans="1:13" x14ac:dyDescent="0.35">
      <c r="A595" t="s">
        <v>966</v>
      </c>
      <c r="B595" t="s">
        <v>88</v>
      </c>
      <c r="C595" t="s">
        <v>157</v>
      </c>
      <c r="D595" s="2">
        <v>2225.15</v>
      </c>
      <c r="E595">
        <v>9</v>
      </c>
      <c r="F595">
        <v>0.1</v>
      </c>
      <c r="G595" t="s">
        <v>14</v>
      </c>
      <c r="H595" t="s">
        <v>15</v>
      </c>
      <c r="I595" t="s">
        <v>16</v>
      </c>
      <c r="J595" s="2">
        <f>Table1_1[[#This Row],[Sales]]-Table1_1[[#This Row],[Sales]]*Table1_1[[#This Row],[Discount]]</f>
        <v>2002.635</v>
      </c>
      <c r="K595" s="1">
        <v>45532</v>
      </c>
      <c r="L595" s="11">
        <v>45539</v>
      </c>
      <c r="M595">
        <f>DATEDIF(Table1_1[[#This Row],[Order Date]],Table1_1[[#This Row],[Ship Date]],"D")</f>
        <v>7</v>
      </c>
    </row>
    <row r="596" spans="1:13" x14ac:dyDescent="0.35">
      <c r="A596" t="s">
        <v>967</v>
      </c>
      <c r="B596" t="s">
        <v>928</v>
      </c>
      <c r="C596" t="s">
        <v>175</v>
      </c>
      <c r="D596" s="2">
        <v>1495.44</v>
      </c>
      <c r="E596">
        <v>4</v>
      </c>
      <c r="F596">
        <v>0.3</v>
      </c>
      <c r="G596" t="s">
        <v>19</v>
      </c>
      <c r="H596" t="s">
        <v>21</v>
      </c>
      <c r="I596" t="s">
        <v>43</v>
      </c>
      <c r="J596" s="2">
        <f>Table1_1[[#This Row],[Sales]]-Table1_1[[#This Row],[Sales]]*Table1_1[[#This Row],[Discount]]</f>
        <v>1046.808</v>
      </c>
      <c r="K596" s="1">
        <v>45188</v>
      </c>
      <c r="L596" s="11">
        <v>45195</v>
      </c>
      <c r="M596">
        <f>DATEDIF(Table1_1[[#This Row],[Order Date]],Table1_1[[#This Row],[Ship Date]],"D")</f>
        <v>7</v>
      </c>
    </row>
    <row r="597" spans="1:13" x14ac:dyDescent="0.35">
      <c r="A597" t="s">
        <v>968</v>
      </c>
      <c r="B597" t="s">
        <v>107</v>
      </c>
      <c r="C597" t="s">
        <v>89</v>
      </c>
      <c r="D597" s="2">
        <v>306.24</v>
      </c>
      <c r="E597">
        <v>3</v>
      </c>
      <c r="F597">
        <v>0.3</v>
      </c>
      <c r="G597" t="s">
        <v>39</v>
      </c>
      <c r="H597" t="s">
        <v>15</v>
      </c>
      <c r="I597" t="s">
        <v>43</v>
      </c>
      <c r="J597" s="2">
        <f>Table1_1[[#This Row],[Sales]]-Table1_1[[#This Row],[Sales]]*Table1_1[[#This Row],[Discount]]</f>
        <v>214.36799999999999</v>
      </c>
      <c r="K597" s="1">
        <v>45180</v>
      </c>
      <c r="L597" s="11">
        <v>45184</v>
      </c>
      <c r="M597">
        <f>DATEDIF(Table1_1[[#This Row],[Order Date]],Table1_1[[#This Row],[Ship Date]],"D")</f>
        <v>4</v>
      </c>
    </row>
    <row r="598" spans="1:13" x14ac:dyDescent="0.35">
      <c r="A598" t="s">
        <v>969</v>
      </c>
      <c r="B598" t="s">
        <v>130</v>
      </c>
      <c r="C598" t="s">
        <v>595</v>
      </c>
      <c r="D598" s="2">
        <v>105.8</v>
      </c>
      <c r="E598">
        <v>1</v>
      </c>
      <c r="F598">
        <v>0</v>
      </c>
      <c r="G598" t="s">
        <v>14</v>
      </c>
      <c r="H598" t="s">
        <v>21</v>
      </c>
      <c r="I598" t="s">
        <v>20</v>
      </c>
      <c r="J598" s="2">
        <f>Table1_1[[#This Row],[Sales]]-Table1_1[[#This Row],[Sales]]*Table1_1[[#This Row],[Discount]]</f>
        <v>105.8</v>
      </c>
      <c r="K598" s="1">
        <v>45725</v>
      </c>
      <c r="L598" s="11">
        <v>45729</v>
      </c>
      <c r="M598">
        <f>DATEDIF(Table1_1[[#This Row],[Order Date]],Table1_1[[#This Row],[Ship Date]],"D")</f>
        <v>4</v>
      </c>
    </row>
    <row r="599" spans="1:13" x14ac:dyDescent="0.35">
      <c r="A599" t="s">
        <v>970</v>
      </c>
      <c r="B599" t="s">
        <v>971</v>
      </c>
      <c r="C599" t="s">
        <v>178</v>
      </c>
      <c r="D599" s="2">
        <v>4951.07</v>
      </c>
      <c r="E599">
        <v>5</v>
      </c>
      <c r="F599">
        <v>0.3</v>
      </c>
      <c r="G599" t="s">
        <v>39</v>
      </c>
      <c r="H599" t="s">
        <v>21</v>
      </c>
      <c r="I599" t="s">
        <v>16</v>
      </c>
      <c r="J599" s="2">
        <f>Table1_1[[#This Row],[Sales]]-Table1_1[[#This Row],[Sales]]*Table1_1[[#This Row],[Discount]]</f>
        <v>3465.7489999999998</v>
      </c>
      <c r="K599" s="1">
        <v>45578</v>
      </c>
      <c r="L599" s="11">
        <v>45584</v>
      </c>
      <c r="M599">
        <f>DATEDIF(Table1_1[[#This Row],[Order Date]],Table1_1[[#This Row],[Ship Date]],"D")</f>
        <v>6</v>
      </c>
    </row>
    <row r="600" spans="1:13" x14ac:dyDescent="0.35">
      <c r="A600" t="s">
        <v>972</v>
      </c>
      <c r="B600" t="s">
        <v>801</v>
      </c>
      <c r="C600" t="s">
        <v>105</v>
      </c>
      <c r="D600" s="2">
        <v>362.2</v>
      </c>
      <c r="E600">
        <v>3</v>
      </c>
      <c r="F600">
        <v>0.2</v>
      </c>
      <c r="G600" t="s">
        <v>19</v>
      </c>
      <c r="H600" t="s">
        <v>15</v>
      </c>
      <c r="I600" t="s">
        <v>43</v>
      </c>
      <c r="J600" s="2">
        <f>Table1_1[[#This Row],[Sales]]-Table1_1[[#This Row],[Sales]]*Table1_1[[#This Row],[Discount]]</f>
        <v>289.76</v>
      </c>
      <c r="K600" s="1">
        <v>45693</v>
      </c>
      <c r="L600" s="11">
        <v>45699</v>
      </c>
      <c r="M600">
        <f>DATEDIF(Table1_1[[#This Row],[Order Date]],Table1_1[[#This Row],[Ship Date]],"D")</f>
        <v>6</v>
      </c>
    </row>
    <row r="601" spans="1:13" x14ac:dyDescent="0.35">
      <c r="A601" t="s">
        <v>973</v>
      </c>
      <c r="B601" t="s">
        <v>261</v>
      </c>
      <c r="C601" t="s">
        <v>246</v>
      </c>
      <c r="D601" s="2">
        <v>3414.49</v>
      </c>
      <c r="E601">
        <v>1</v>
      </c>
      <c r="F601">
        <v>0.3</v>
      </c>
      <c r="G601" t="s">
        <v>14</v>
      </c>
      <c r="H601" t="s">
        <v>15</v>
      </c>
      <c r="I601" t="s">
        <v>16</v>
      </c>
      <c r="J601" s="2">
        <f>Table1_1[[#This Row],[Sales]]-Table1_1[[#This Row],[Sales]]*Table1_1[[#This Row],[Discount]]</f>
        <v>2390.143</v>
      </c>
      <c r="K601" s="1">
        <v>45422</v>
      </c>
      <c r="L601" s="11">
        <v>45428</v>
      </c>
      <c r="M601">
        <f>DATEDIF(Table1_1[[#This Row],[Order Date]],Table1_1[[#This Row],[Ship Date]],"D")</f>
        <v>6</v>
      </c>
    </row>
    <row r="602" spans="1:13" x14ac:dyDescent="0.35">
      <c r="A602" t="s">
        <v>974</v>
      </c>
      <c r="B602" t="s">
        <v>414</v>
      </c>
      <c r="C602" t="s">
        <v>291</v>
      </c>
      <c r="D602" s="2">
        <v>1473.22</v>
      </c>
      <c r="E602">
        <v>2</v>
      </c>
      <c r="F602">
        <v>0.3</v>
      </c>
      <c r="G602" t="s">
        <v>39</v>
      </c>
      <c r="H602" t="s">
        <v>15</v>
      </c>
      <c r="I602" t="s">
        <v>20</v>
      </c>
      <c r="J602" s="2">
        <f>Table1_1[[#This Row],[Sales]]-Table1_1[[#This Row],[Sales]]*Table1_1[[#This Row],[Discount]]</f>
        <v>1031.2539999999999</v>
      </c>
      <c r="K602" s="1">
        <v>45653</v>
      </c>
      <c r="L602" s="11">
        <v>45659</v>
      </c>
      <c r="M602">
        <f>DATEDIF(Table1_1[[#This Row],[Order Date]],Table1_1[[#This Row],[Ship Date]],"D")</f>
        <v>6</v>
      </c>
    </row>
    <row r="603" spans="1:13" x14ac:dyDescent="0.35">
      <c r="A603" t="s">
        <v>975</v>
      </c>
      <c r="B603" t="s">
        <v>122</v>
      </c>
      <c r="C603" t="s">
        <v>105</v>
      </c>
      <c r="D603" s="2">
        <v>3604.98</v>
      </c>
      <c r="E603">
        <v>3</v>
      </c>
      <c r="F603">
        <v>0.2</v>
      </c>
      <c r="G603" t="s">
        <v>39</v>
      </c>
      <c r="H603" t="s">
        <v>15</v>
      </c>
      <c r="I603" t="s">
        <v>43</v>
      </c>
      <c r="J603" s="2">
        <f>Table1_1[[#This Row],[Sales]]-Table1_1[[#This Row],[Sales]]*Table1_1[[#This Row],[Discount]]</f>
        <v>2883.9839999999999</v>
      </c>
      <c r="K603" s="1">
        <v>45523</v>
      </c>
      <c r="L603" s="11">
        <v>45530</v>
      </c>
      <c r="M603">
        <f>DATEDIF(Table1_1[[#This Row],[Order Date]],Table1_1[[#This Row],[Ship Date]],"D")</f>
        <v>7</v>
      </c>
    </row>
    <row r="604" spans="1:13" x14ac:dyDescent="0.35">
      <c r="A604" t="s">
        <v>976</v>
      </c>
      <c r="B604" t="s">
        <v>977</v>
      </c>
      <c r="C604" t="s">
        <v>194</v>
      </c>
      <c r="D604" s="2">
        <v>4893.38</v>
      </c>
      <c r="E604">
        <v>9</v>
      </c>
      <c r="F604">
        <v>0.2</v>
      </c>
      <c r="G604" t="s">
        <v>19</v>
      </c>
      <c r="H604" t="s">
        <v>21</v>
      </c>
      <c r="I604" t="s">
        <v>20</v>
      </c>
      <c r="J604" s="2">
        <f>Table1_1[[#This Row],[Sales]]-Table1_1[[#This Row],[Sales]]*Table1_1[[#This Row],[Discount]]</f>
        <v>3914.7040000000002</v>
      </c>
      <c r="K604" s="1">
        <v>45217</v>
      </c>
      <c r="L604" s="11">
        <v>45222</v>
      </c>
      <c r="M604">
        <f>DATEDIF(Table1_1[[#This Row],[Order Date]],Table1_1[[#This Row],[Ship Date]],"D")</f>
        <v>5</v>
      </c>
    </row>
    <row r="605" spans="1:13" x14ac:dyDescent="0.35">
      <c r="A605" t="s">
        <v>978</v>
      </c>
      <c r="B605" t="s">
        <v>93</v>
      </c>
      <c r="C605" t="s">
        <v>62</v>
      </c>
      <c r="D605" s="2">
        <v>3467.33</v>
      </c>
      <c r="E605">
        <v>3</v>
      </c>
      <c r="F605">
        <v>0.1</v>
      </c>
      <c r="G605" t="s">
        <v>14</v>
      </c>
      <c r="H605" t="s">
        <v>21</v>
      </c>
      <c r="I605" t="s">
        <v>20</v>
      </c>
      <c r="J605" s="2">
        <f>Table1_1[[#This Row],[Sales]]-Table1_1[[#This Row],[Sales]]*Table1_1[[#This Row],[Discount]]</f>
        <v>3120.5969999999998</v>
      </c>
      <c r="K605" s="1">
        <v>45313</v>
      </c>
      <c r="L605" s="11">
        <v>45317</v>
      </c>
      <c r="M605">
        <f>DATEDIF(Table1_1[[#This Row],[Order Date]],Table1_1[[#This Row],[Ship Date]],"D")</f>
        <v>4</v>
      </c>
    </row>
    <row r="606" spans="1:13" x14ac:dyDescent="0.35">
      <c r="A606" t="s">
        <v>979</v>
      </c>
      <c r="B606" t="s">
        <v>933</v>
      </c>
      <c r="C606" t="s">
        <v>91</v>
      </c>
      <c r="D606" s="2">
        <v>1099.33</v>
      </c>
      <c r="E606">
        <v>3</v>
      </c>
      <c r="F606">
        <v>0</v>
      </c>
      <c r="G606" t="s">
        <v>14</v>
      </c>
      <c r="H606" t="s">
        <v>21</v>
      </c>
      <c r="I606" t="s">
        <v>20</v>
      </c>
      <c r="J606" s="2">
        <f>Table1_1[[#This Row],[Sales]]-Table1_1[[#This Row],[Sales]]*Table1_1[[#This Row],[Discount]]</f>
        <v>1099.33</v>
      </c>
      <c r="K606" s="1">
        <v>45716</v>
      </c>
      <c r="L606" s="11">
        <v>45717</v>
      </c>
      <c r="M606">
        <f>DATEDIF(Table1_1[[#This Row],[Order Date]],Table1_1[[#This Row],[Ship Date]],"D")</f>
        <v>1</v>
      </c>
    </row>
    <row r="607" spans="1:13" x14ac:dyDescent="0.35">
      <c r="A607" t="s">
        <v>980</v>
      </c>
      <c r="B607" t="s">
        <v>522</v>
      </c>
      <c r="C607" t="s">
        <v>273</v>
      </c>
      <c r="D607" s="2">
        <v>1630.83</v>
      </c>
      <c r="E607">
        <v>1</v>
      </c>
      <c r="F607">
        <v>0.3</v>
      </c>
      <c r="G607" t="s">
        <v>19</v>
      </c>
      <c r="H607" t="s">
        <v>15</v>
      </c>
      <c r="I607" t="s">
        <v>16</v>
      </c>
      <c r="J607" s="2">
        <f>Table1_1[[#This Row],[Sales]]-Table1_1[[#This Row],[Sales]]*Table1_1[[#This Row],[Discount]]</f>
        <v>1141.5809999999999</v>
      </c>
      <c r="K607" s="1">
        <v>45581</v>
      </c>
      <c r="L607" s="11">
        <v>45583</v>
      </c>
      <c r="M607">
        <f>DATEDIF(Table1_1[[#This Row],[Order Date]],Table1_1[[#This Row],[Ship Date]],"D")</f>
        <v>2</v>
      </c>
    </row>
    <row r="608" spans="1:13" x14ac:dyDescent="0.35">
      <c r="A608" t="s">
        <v>981</v>
      </c>
      <c r="B608" t="s">
        <v>514</v>
      </c>
      <c r="C608" t="s">
        <v>204</v>
      </c>
      <c r="D608" s="2">
        <v>4652.7299999999996</v>
      </c>
      <c r="E608">
        <v>6</v>
      </c>
      <c r="F608">
        <v>0.1</v>
      </c>
      <c r="G608" t="s">
        <v>39</v>
      </c>
      <c r="H608" t="s">
        <v>15</v>
      </c>
      <c r="I608" t="s">
        <v>16</v>
      </c>
      <c r="J608" s="2">
        <f>Table1_1[[#This Row],[Sales]]-Table1_1[[#This Row],[Sales]]*Table1_1[[#This Row],[Discount]]</f>
        <v>4187.4569999999994</v>
      </c>
      <c r="K608" s="1">
        <v>44989</v>
      </c>
      <c r="L608" s="11">
        <v>44996</v>
      </c>
      <c r="M608">
        <f>DATEDIF(Table1_1[[#This Row],[Order Date]],Table1_1[[#This Row],[Ship Date]],"D")</f>
        <v>7</v>
      </c>
    </row>
    <row r="609" spans="1:13" x14ac:dyDescent="0.35">
      <c r="A609" t="s">
        <v>982</v>
      </c>
      <c r="B609" t="s">
        <v>983</v>
      </c>
      <c r="C609" t="s">
        <v>254</v>
      </c>
      <c r="D609" s="2">
        <v>193.86</v>
      </c>
      <c r="E609">
        <v>6</v>
      </c>
      <c r="F609">
        <v>0</v>
      </c>
      <c r="G609" t="s">
        <v>14</v>
      </c>
      <c r="H609" t="s">
        <v>21</v>
      </c>
      <c r="I609" t="s">
        <v>43</v>
      </c>
      <c r="J609" s="2">
        <f>Table1_1[[#This Row],[Sales]]-Table1_1[[#This Row],[Sales]]*Table1_1[[#This Row],[Discount]]</f>
        <v>193.86</v>
      </c>
      <c r="K609" s="1">
        <v>45506</v>
      </c>
      <c r="L609" s="11">
        <v>45508</v>
      </c>
      <c r="M609">
        <f>DATEDIF(Table1_1[[#This Row],[Order Date]],Table1_1[[#This Row],[Ship Date]],"D")</f>
        <v>2</v>
      </c>
    </row>
    <row r="610" spans="1:13" x14ac:dyDescent="0.35">
      <c r="A610" t="s">
        <v>984</v>
      </c>
      <c r="B610" t="s">
        <v>643</v>
      </c>
      <c r="C610" t="s">
        <v>251</v>
      </c>
      <c r="D610" s="2">
        <v>3702.76</v>
      </c>
      <c r="E610">
        <v>5</v>
      </c>
      <c r="F610">
        <v>0.1</v>
      </c>
      <c r="G610" t="s">
        <v>39</v>
      </c>
      <c r="H610" t="s">
        <v>21</v>
      </c>
      <c r="I610" t="s">
        <v>20</v>
      </c>
      <c r="J610" s="2">
        <f>Table1_1[[#This Row],[Sales]]-Table1_1[[#This Row],[Sales]]*Table1_1[[#This Row],[Discount]]</f>
        <v>3332.4840000000004</v>
      </c>
      <c r="K610" s="1">
        <v>44961</v>
      </c>
      <c r="L610" s="11">
        <v>44967</v>
      </c>
      <c r="M610">
        <f>DATEDIF(Table1_1[[#This Row],[Order Date]],Table1_1[[#This Row],[Ship Date]],"D")</f>
        <v>6</v>
      </c>
    </row>
    <row r="611" spans="1:13" x14ac:dyDescent="0.35">
      <c r="A611" t="s">
        <v>985</v>
      </c>
      <c r="B611" t="s">
        <v>986</v>
      </c>
      <c r="C611" t="s">
        <v>169</v>
      </c>
      <c r="D611" s="2">
        <v>1582.76</v>
      </c>
      <c r="E611">
        <v>7</v>
      </c>
      <c r="F611">
        <v>0.3</v>
      </c>
      <c r="G611" t="s">
        <v>14</v>
      </c>
      <c r="H611" t="s">
        <v>15</v>
      </c>
      <c r="I611" t="s">
        <v>16</v>
      </c>
      <c r="J611" s="2">
        <f>Table1_1[[#This Row],[Sales]]-Table1_1[[#This Row],[Sales]]*Table1_1[[#This Row],[Discount]]</f>
        <v>1107.932</v>
      </c>
      <c r="K611" s="1">
        <v>45316</v>
      </c>
      <c r="L611" s="11">
        <v>45318</v>
      </c>
      <c r="M611">
        <f>DATEDIF(Table1_1[[#This Row],[Order Date]],Table1_1[[#This Row],[Ship Date]],"D")</f>
        <v>2</v>
      </c>
    </row>
    <row r="612" spans="1:13" x14ac:dyDescent="0.35">
      <c r="A612" t="s">
        <v>987</v>
      </c>
      <c r="B612" t="s">
        <v>782</v>
      </c>
      <c r="C612" t="s">
        <v>359</v>
      </c>
      <c r="D612" s="2">
        <v>2052.85</v>
      </c>
      <c r="E612">
        <v>10</v>
      </c>
      <c r="F612">
        <v>0.3</v>
      </c>
      <c r="G612" t="s">
        <v>39</v>
      </c>
      <c r="H612" t="s">
        <v>21</v>
      </c>
      <c r="I612" t="s">
        <v>20</v>
      </c>
      <c r="J612" s="2">
        <f>Table1_1[[#This Row],[Sales]]-Table1_1[[#This Row],[Sales]]*Table1_1[[#This Row],[Discount]]</f>
        <v>1436.9949999999999</v>
      </c>
      <c r="K612" s="1">
        <v>45150</v>
      </c>
      <c r="L612" s="11">
        <v>45152</v>
      </c>
      <c r="M612">
        <f>DATEDIF(Table1_1[[#This Row],[Order Date]],Table1_1[[#This Row],[Ship Date]],"D")</f>
        <v>2</v>
      </c>
    </row>
    <row r="613" spans="1:13" x14ac:dyDescent="0.35">
      <c r="A613" t="s">
        <v>988</v>
      </c>
      <c r="B613" t="s">
        <v>50</v>
      </c>
      <c r="C613" t="s">
        <v>357</v>
      </c>
      <c r="D613" s="2">
        <v>1772.04</v>
      </c>
      <c r="E613">
        <v>5</v>
      </c>
      <c r="F613">
        <v>0.2</v>
      </c>
      <c r="G613" t="s">
        <v>39</v>
      </c>
      <c r="H613" t="s">
        <v>15</v>
      </c>
      <c r="I613" t="s">
        <v>43</v>
      </c>
      <c r="J613" s="2">
        <f>Table1_1[[#This Row],[Sales]]-Table1_1[[#This Row],[Sales]]*Table1_1[[#This Row],[Discount]]</f>
        <v>1417.6320000000001</v>
      </c>
      <c r="K613" s="1">
        <v>45159</v>
      </c>
      <c r="L613" s="11">
        <v>45161</v>
      </c>
      <c r="M613">
        <f>DATEDIF(Table1_1[[#This Row],[Order Date]],Table1_1[[#This Row],[Ship Date]],"D")</f>
        <v>2</v>
      </c>
    </row>
    <row r="614" spans="1:13" x14ac:dyDescent="0.35">
      <c r="A614" t="s">
        <v>989</v>
      </c>
      <c r="B614" t="s">
        <v>98</v>
      </c>
      <c r="C614" t="s">
        <v>197</v>
      </c>
      <c r="D614" s="2">
        <v>1162.22</v>
      </c>
      <c r="E614">
        <v>9</v>
      </c>
      <c r="F614">
        <v>0.1</v>
      </c>
      <c r="G614" t="s">
        <v>39</v>
      </c>
      <c r="H614" t="s">
        <v>21</v>
      </c>
      <c r="I614" t="s">
        <v>16</v>
      </c>
      <c r="J614" s="2">
        <f>Table1_1[[#This Row],[Sales]]-Table1_1[[#This Row],[Sales]]*Table1_1[[#This Row],[Discount]]</f>
        <v>1045.998</v>
      </c>
      <c r="K614" s="1">
        <v>44975</v>
      </c>
      <c r="L614" s="11">
        <v>44976</v>
      </c>
      <c r="M614">
        <f>DATEDIF(Table1_1[[#This Row],[Order Date]],Table1_1[[#This Row],[Ship Date]],"D")</f>
        <v>1</v>
      </c>
    </row>
    <row r="615" spans="1:13" x14ac:dyDescent="0.35">
      <c r="A615" t="s">
        <v>990</v>
      </c>
      <c r="B615" t="s">
        <v>12</v>
      </c>
      <c r="C615" t="s">
        <v>281</v>
      </c>
      <c r="D615" s="2">
        <v>525.04</v>
      </c>
      <c r="E615">
        <v>8</v>
      </c>
      <c r="F615">
        <v>0.1</v>
      </c>
      <c r="G615" t="s">
        <v>14</v>
      </c>
      <c r="H615" t="s">
        <v>21</v>
      </c>
      <c r="I615" t="s">
        <v>20</v>
      </c>
      <c r="J615" s="2">
        <f>Table1_1[[#This Row],[Sales]]-Table1_1[[#This Row],[Sales]]*Table1_1[[#This Row],[Discount]]</f>
        <v>472.53599999999994</v>
      </c>
      <c r="K615" s="1">
        <v>45593</v>
      </c>
      <c r="L615" s="11">
        <v>45599</v>
      </c>
      <c r="M615">
        <f>DATEDIF(Table1_1[[#This Row],[Order Date]],Table1_1[[#This Row],[Ship Date]],"D")</f>
        <v>6</v>
      </c>
    </row>
    <row r="616" spans="1:13" x14ac:dyDescent="0.35">
      <c r="A616" t="s">
        <v>991</v>
      </c>
      <c r="B616" t="s">
        <v>426</v>
      </c>
      <c r="C616" t="s">
        <v>542</v>
      </c>
      <c r="D616" s="2">
        <v>3741.69</v>
      </c>
      <c r="E616">
        <v>3</v>
      </c>
      <c r="F616">
        <v>0.3</v>
      </c>
      <c r="G616" t="s">
        <v>19</v>
      </c>
      <c r="H616" t="s">
        <v>15</v>
      </c>
      <c r="I616" t="s">
        <v>16</v>
      </c>
      <c r="J616" s="2">
        <f>Table1_1[[#This Row],[Sales]]-Table1_1[[#This Row],[Sales]]*Table1_1[[#This Row],[Discount]]</f>
        <v>2619.183</v>
      </c>
      <c r="K616" s="1">
        <v>45579</v>
      </c>
      <c r="L616" s="11">
        <v>45586</v>
      </c>
      <c r="M616">
        <f>DATEDIF(Table1_1[[#This Row],[Order Date]],Table1_1[[#This Row],[Ship Date]],"D")</f>
        <v>7</v>
      </c>
    </row>
    <row r="617" spans="1:13" x14ac:dyDescent="0.35">
      <c r="A617" t="s">
        <v>992</v>
      </c>
      <c r="B617" t="s">
        <v>182</v>
      </c>
      <c r="C617" t="s">
        <v>94</v>
      </c>
      <c r="D617" s="2">
        <v>1783.81</v>
      </c>
      <c r="E617">
        <v>7</v>
      </c>
      <c r="F617">
        <v>0.3</v>
      </c>
      <c r="G617" t="s">
        <v>39</v>
      </c>
      <c r="H617" t="s">
        <v>15</v>
      </c>
      <c r="I617" t="s">
        <v>20</v>
      </c>
      <c r="J617" s="2">
        <f>Table1_1[[#This Row],[Sales]]-Table1_1[[#This Row],[Sales]]*Table1_1[[#This Row],[Discount]]</f>
        <v>1248.6669999999999</v>
      </c>
      <c r="K617" s="1">
        <v>45351</v>
      </c>
      <c r="L617" s="11">
        <v>45358</v>
      </c>
      <c r="M617">
        <f>DATEDIF(Table1_1[[#This Row],[Order Date]],Table1_1[[#This Row],[Ship Date]],"D")</f>
        <v>7</v>
      </c>
    </row>
    <row r="618" spans="1:13" x14ac:dyDescent="0.35">
      <c r="A618" t="s">
        <v>993</v>
      </c>
      <c r="B618" t="s">
        <v>363</v>
      </c>
      <c r="C618" t="s">
        <v>226</v>
      </c>
      <c r="D618" s="2">
        <v>3436.91</v>
      </c>
      <c r="E618">
        <v>4</v>
      </c>
      <c r="F618">
        <v>0.2</v>
      </c>
      <c r="G618" t="s">
        <v>14</v>
      </c>
      <c r="H618" t="s">
        <v>21</v>
      </c>
      <c r="I618" t="s">
        <v>20</v>
      </c>
      <c r="J618" s="2">
        <f>Table1_1[[#This Row],[Sales]]-Table1_1[[#This Row],[Sales]]*Table1_1[[#This Row],[Discount]]</f>
        <v>2749.5279999999998</v>
      </c>
      <c r="K618" s="1">
        <v>45161</v>
      </c>
      <c r="L618" s="11">
        <v>45166</v>
      </c>
      <c r="M618">
        <f>DATEDIF(Table1_1[[#This Row],[Order Date]],Table1_1[[#This Row],[Ship Date]],"D")</f>
        <v>5</v>
      </c>
    </row>
    <row r="619" spans="1:13" x14ac:dyDescent="0.35">
      <c r="A619" t="s">
        <v>994</v>
      </c>
      <c r="B619" t="s">
        <v>380</v>
      </c>
      <c r="C619" t="s">
        <v>329</v>
      </c>
      <c r="D619" s="2">
        <v>3670.02</v>
      </c>
      <c r="E619">
        <v>6</v>
      </c>
      <c r="F619">
        <v>0</v>
      </c>
      <c r="G619" t="s">
        <v>19</v>
      </c>
      <c r="H619" t="s">
        <v>21</v>
      </c>
      <c r="I619" t="s">
        <v>20</v>
      </c>
      <c r="J619" s="2">
        <f>Table1_1[[#This Row],[Sales]]-Table1_1[[#This Row],[Sales]]*Table1_1[[#This Row],[Discount]]</f>
        <v>3670.02</v>
      </c>
      <c r="K619" s="1">
        <v>45456</v>
      </c>
      <c r="L619" s="11">
        <v>45460</v>
      </c>
      <c r="M619">
        <f>DATEDIF(Table1_1[[#This Row],[Order Date]],Table1_1[[#This Row],[Ship Date]],"D")</f>
        <v>4</v>
      </c>
    </row>
    <row r="620" spans="1:13" x14ac:dyDescent="0.35">
      <c r="A620" t="s">
        <v>995</v>
      </c>
      <c r="B620" t="s">
        <v>156</v>
      </c>
      <c r="C620" t="s">
        <v>487</v>
      </c>
      <c r="D620" s="2">
        <v>3326.42</v>
      </c>
      <c r="E620">
        <v>9</v>
      </c>
      <c r="F620">
        <v>0.2</v>
      </c>
      <c r="G620" t="s">
        <v>19</v>
      </c>
      <c r="H620" t="s">
        <v>15</v>
      </c>
      <c r="I620" t="s">
        <v>16</v>
      </c>
      <c r="J620" s="2">
        <f>Table1_1[[#This Row],[Sales]]-Table1_1[[#This Row],[Sales]]*Table1_1[[#This Row],[Discount]]</f>
        <v>2661.136</v>
      </c>
      <c r="K620" s="1">
        <v>45336</v>
      </c>
      <c r="L620" s="11">
        <v>45340</v>
      </c>
      <c r="M620">
        <f>DATEDIF(Table1_1[[#This Row],[Order Date]],Table1_1[[#This Row],[Ship Date]],"D")</f>
        <v>4</v>
      </c>
    </row>
    <row r="621" spans="1:13" x14ac:dyDescent="0.35">
      <c r="A621" t="s">
        <v>996</v>
      </c>
      <c r="B621" t="s">
        <v>438</v>
      </c>
      <c r="C621" t="s">
        <v>273</v>
      </c>
      <c r="D621" s="2">
        <v>3309.57</v>
      </c>
      <c r="E621">
        <v>1</v>
      </c>
      <c r="F621">
        <v>0</v>
      </c>
      <c r="G621" t="s">
        <v>39</v>
      </c>
      <c r="H621" t="s">
        <v>21</v>
      </c>
      <c r="I621" t="s">
        <v>16</v>
      </c>
      <c r="J621" s="2">
        <f>Table1_1[[#This Row],[Sales]]-Table1_1[[#This Row],[Sales]]*Table1_1[[#This Row],[Discount]]</f>
        <v>3309.57</v>
      </c>
      <c r="K621" s="1">
        <v>45226</v>
      </c>
      <c r="L621" s="11">
        <v>45230</v>
      </c>
      <c r="M621">
        <f>DATEDIF(Table1_1[[#This Row],[Order Date]],Table1_1[[#This Row],[Ship Date]],"D")</f>
        <v>4</v>
      </c>
    </row>
    <row r="622" spans="1:13" x14ac:dyDescent="0.35">
      <c r="A622" t="s">
        <v>997</v>
      </c>
      <c r="B622" t="s">
        <v>998</v>
      </c>
      <c r="C622" t="s">
        <v>450</v>
      </c>
      <c r="D622" s="2">
        <v>4222.1400000000003</v>
      </c>
      <c r="E622">
        <v>9</v>
      </c>
      <c r="F622">
        <v>0.1</v>
      </c>
      <c r="G622" t="s">
        <v>19</v>
      </c>
      <c r="H622" t="s">
        <v>21</v>
      </c>
      <c r="I622" t="s">
        <v>43</v>
      </c>
      <c r="J622" s="2">
        <f>Table1_1[[#This Row],[Sales]]-Table1_1[[#This Row],[Sales]]*Table1_1[[#This Row],[Discount]]</f>
        <v>3799.9260000000004</v>
      </c>
      <c r="K622" s="1">
        <v>45126</v>
      </c>
      <c r="L622" s="11">
        <v>45130</v>
      </c>
      <c r="M622">
        <f>DATEDIF(Table1_1[[#This Row],[Order Date]],Table1_1[[#This Row],[Ship Date]],"D")</f>
        <v>4</v>
      </c>
    </row>
    <row r="623" spans="1:13" x14ac:dyDescent="0.35">
      <c r="A623" t="s">
        <v>999</v>
      </c>
      <c r="B623" t="s">
        <v>124</v>
      </c>
      <c r="C623" t="s">
        <v>911</v>
      </c>
      <c r="D623" s="2">
        <v>118.26</v>
      </c>
      <c r="E623">
        <v>7</v>
      </c>
      <c r="F623">
        <v>0.2</v>
      </c>
      <c r="G623" t="s">
        <v>19</v>
      </c>
      <c r="H623" t="s">
        <v>15</v>
      </c>
      <c r="I623" t="s">
        <v>20</v>
      </c>
      <c r="J623" s="2">
        <f>Table1_1[[#This Row],[Sales]]-Table1_1[[#This Row],[Sales]]*Table1_1[[#This Row],[Discount]]</f>
        <v>94.608000000000004</v>
      </c>
      <c r="K623" s="1">
        <v>45205</v>
      </c>
      <c r="L623" s="11">
        <v>45212</v>
      </c>
      <c r="M623">
        <f>DATEDIF(Table1_1[[#This Row],[Order Date]],Table1_1[[#This Row],[Ship Date]],"D")</f>
        <v>7</v>
      </c>
    </row>
    <row r="624" spans="1:13" x14ac:dyDescent="0.35">
      <c r="A624" t="s">
        <v>1000</v>
      </c>
      <c r="B624" t="s">
        <v>173</v>
      </c>
      <c r="C624" t="s">
        <v>160</v>
      </c>
      <c r="D624" s="2">
        <v>2303.08</v>
      </c>
      <c r="E624">
        <v>7</v>
      </c>
      <c r="F624">
        <v>0.1</v>
      </c>
      <c r="G624" t="s">
        <v>14</v>
      </c>
      <c r="H624" t="s">
        <v>21</v>
      </c>
      <c r="I624" t="s">
        <v>16</v>
      </c>
      <c r="J624" s="2">
        <f>Table1_1[[#This Row],[Sales]]-Table1_1[[#This Row],[Sales]]*Table1_1[[#This Row],[Discount]]</f>
        <v>2072.7719999999999</v>
      </c>
      <c r="K624" s="1">
        <v>44929</v>
      </c>
      <c r="L624" s="11">
        <v>44931</v>
      </c>
      <c r="M624">
        <f>DATEDIF(Table1_1[[#This Row],[Order Date]],Table1_1[[#This Row],[Ship Date]],"D")</f>
        <v>2</v>
      </c>
    </row>
    <row r="625" spans="1:13" x14ac:dyDescent="0.35">
      <c r="A625" t="s">
        <v>1001</v>
      </c>
      <c r="B625" t="s">
        <v>1002</v>
      </c>
      <c r="C625" t="s">
        <v>157</v>
      </c>
      <c r="D625" s="2">
        <v>908.5</v>
      </c>
      <c r="E625">
        <v>2</v>
      </c>
      <c r="F625">
        <v>0.1</v>
      </c>
      <c r="G625" t="s">
        <v>14</v>
      </c>
      <c r="H625" t="s">
        <v>15</v>
      </c>
      <c r="I625" t="s">
        <v>43</v>
      </c>
      <c r="J625" s="2">
        <f>Table1_1[[#This Row],[Sales]]-Table1_1[[#This Row],[Sales]]*Table1_1[[#This Row],[Discount]]</f>
        <v>817.65</v>
      </c>
      <c r="K625" s="1">
        <v>45118</v>
      </c>
      <c r="L625" s="11">
        <v>45124</v>
      </c>
      <c r="M625">
        <f>DATEDIF(Table1_1[[#This Row],[Order Date]],Table1_1[[#This Row],[Ship Date]],"D")</f>
        <v>6</v>
      </c>
    </row>
    <row r="626" spans="1:13" x14ac:dyDescent="0.35">
      <c r="A626" t="s">
        <v>1003</v>
      </c>
      <c r="B626" t="s">
        <v>1004</v>
      </c>
      <c r="C626" t="s">
        <v>336</v>
      </c>
      <c r="D626" s="2">
        <v>4412.6000000000004</v>
      </c>
      <c r="E626">
        <v>8</v>
      </c>
      <c r="F626">
        <v>0</v>
      </c>
      <c r="G626" t="s">
        <v>14</v>
      </c>
      <c r="H626" t="s">
        <v>15</v>
      </c>
      <c r="I626" t="s">
        <v>43</v>
      </c>
      <c r="J626" s="2">
        <f>Table1_1[[#This Row],[Sales]]-Table1_1[[#This Row],[Sales]]*Table1_1[[#This Row],[Discount]]</f>
        <v>4412.6000000000004</v>
      </c>
      <c r="K626" s="1">
        <v>45283</v>
      </c>
      <c r="L626" s="11">
        <v>45289</v>
      </c>
      <c r="M626">
        <f>DATEDIF(Table1_1[[#This Row],[Order Date]],Table1_1[[#This Row],[Ship Date]],"D")</f>
        <v>6</v>
      </c>
    </row>
    <row r="627" spans="1:13" x14ac:dyDescent="0.35">
      <c r="A627" t="s">
        <v>1005</v>
      </c>
      <c r="B627" t="s">
        <v>280</v>
      </c>
      <c r="C627" t="s">
        <v>281</v>
      </c>
      <c r="D627" s="2">
        <v>1008.6</v>
      </c>
      <c r="E627">
        <v>4</v>
      </c>
      <c r="F627">
        <v>0.3</v>
      </c>
      <c r="G627" t="s">
        <v>14</v>
      </c>
      <c r="H627" t="s">
        <v>15</v>
      </c>
      <c r="I627" t="s">
        <v>20</v>
      </c>
      <c r="J627" s="2">
        <f>Table1_1[[#This Row],[Sales]]-Table1_1[[#This Row],[Sales]]*Table1_1[[#This Row],[Discount]]</f>
        <v>706.02</v>
      </c>
      <c r="K627" s="1">
        <v>45476</v>
      </c>
      <c r="L627" s="11">
        <v>45480</v>
      </c>
      <c r="M627">
        <f>DATEDIF(Table1_1[[#This Row],[Order Date]],Table1_1[[#This Row],[Ship Date]],"D")</f>
        <v>4</v>
      </c>
    </row>
    <row r="628" spans="1:13" x14ac:dyDescent="0.35">
      <c r="A628" t="s">
        <v>1006</v>
      </c>
      <c r="B628" t="s">
        <v>338</v>
      </c>
      <c r="C628" t="s">
        <v>285</v>
      </c>
      <c r="D628" s="2">
        <v>4444.5600000000004</v>
      </c>
      <c r="E628">
        <v>6</v>
      </c>
      <c r="F628">
        <v>0</v>
      </c>
      <c r="G628" t="s">
        <v>19</v>
      </c>
      <c r="H628" t="s">
        <v>21</v>
      </c>
      <c r="I628" t="s">
        <v>43</v>
      </c>
      <c r="J628" s="2">
        <f>Table1_1[[#This Row],[Sales]]-Table1_1[[#This Row],[Sales]]*Table1_1[[#This Row],[Discount]]</f>
        <v>4444.5600000000004</v>
      </c>
      <c r="K628" s="1">
        <v>45155</v>
      </c>
      <c r="L628" s="11">
        <v>45157</v>
      </c>
      <c r="M628">
        <f>DATEDIF(Table1_1[[#This Row],[Order Date]],Table1_1[[#This Row],[Ship Date]],"D")</f>
        <v>2</v>
      </c>
    </row>
    <row r="629" spans="1:13" x14ac:dyDescent="0.35">
      <c r="A629" t="s">
        <v>1007</v>
      </c>
      <c r="B629" t="s">
        <v>556</v>
      </c>
      <c r="C629" t="s">
        <v>756</v>
      </c>
      <c r="D629" s="2">
        <v>1017.94</v>
      </c>
      <c r="E629">
        <v>6</v>
      </c>
      <c r="F629">
        <v>0.3</v>
      </c>
      <c r="G629" t="s">
        <v>19</v>
      </c>
      <c r="H629" t="s">
        <v>21</v>
      </c>
      <c r="I629" t="s">
        <v>43</v>
      </c>
      <c r="J629" s="2">
        <f>Table1_1[[#This Row],[Sales]]-Table1_1[[#This Row],[Sales]]*Table1_1[[#This Row],[Discount]]</f>
        <v>712.55799999999999</v>
      </c>
      <c r="K629" s="1">
        <v>45444</v>
      </c>
      <c r="L629" s="11">
        <v>45445</v>
      </c>
      <c r="M629">
        <f>DATEDIF(Table1_1[[#This Row],[Order Date]],Table1_1[[#This Row],[Ship Date]],"D")</f>
        <v>1</v>
      </c>
    </row>
    <row r="630" spans="1:13" x14ac:dyDescent="0.35">
      <c r="A630" t="s">
        <v>1008</v>
      </c>
      <c r="B630" t="s">
        <v>835</v>
      </c>
      <c r="C630" t="s">
        <v>91</v>
      </c>
      <c r="D630" s="2">
        <v>3790.78</v>
      </c>
      <c r="E630">
        <v>4</v>
      </c>
      <c r="F630">
        <v>0.3</v>
      </c>
      <c r="G630" t="s">
        <v>14</v>
      </c>
      <c r="H630" t="s">
        <v>21</v>
      </c>
      <c r="I630" t="s">
        <v>43</v>
      </c>
      <c r="J630" s="2">
        <f>Table1_1[[#This Row],[Sales]]-Table1_1[[#This Row],[Sales]]*Table1_1[[#This Row],[Discount]]</f>
        <v>2653.5460000000003</v>
      </c>
      <c r="K630" s="1">
        <v>45519</v>
      </c>
      <c r="L630" s="11">
        <v>45523</v>
      </c>
      <c r="M630">
        <f>DATEDIF(Table1_1[[#This Row],[Order Date]],Table1_1[[#This Row],[Ship Date]],"D")</f>
        <v>4</v>
      </c>
    </row>
    <row r="631" spans="1:13" x14ac:dyDescent="0.35">
      <c r="A631" t="s">
        <v>1009</v>
      </c>
      <c r="B631" t="s">
        <v>661</v>
      </c>
      <c r="C631" t="s">
        <v>65</v>
      </c>
      <c r="D631" s="2">
        <v>1792.76</v>
      </c>
      <c r="E631">
        <v>10</v>
      </c>
      <c r="F631">
        <v>0.3</v>
      </c>
      <c r="G631" t="s">
        <v>19</v>
      </c>
      <c r="H631" t="s">
        <v>21</v>
      </c>
      <c r="I631" t="s">
        <v>43</v>
      </c>
      <c r="J631" s="2">
        <f>Table1_1[[#This Row],[Sales]]-Table1_1[[#This Row],[Sales]]*Table1_1[[#This Row],[Discount]]</f>
        <v>1254.932</v>
      </c>
      <c r="K631" s="1">
        <v>45128</v>
      </c>
      <c r="L631" s="11">
        <v>45133</v>
      </c>
      <c r="M631">
        <f>DATEDIF(Table1_1[[#This Row],[Order Date]],Table1_1[[#This Row],[Ship Date]],"D")</f>
        <v>5</v>
      </c>
    </row>
    <row r="632" spans="1:13" x14ac:dyDescent="0.35">
      <c r="A632" t="s">
        <v>1010</v>
      </c>
      <c r="B632" t="s">
        <v>949</v>
      </c>
      <c r="C632" t="s">
        <v>91</v>
      </c>
      <c r="D632" s="2">
        <v>3484.35</v>
      </c>
      <c r="E632">
        <v>7</v>
      </c>
      <c r="F632">
        <v>0.3</v>
      </c>
      <c r="G632" t="s">
        <v>39</v>
      </c>
      <c r="H632" t="s">
        <v>21</v>
      </c>
      <c r="I632" t="s">
        <v>43</v>
      </c>
      <c r="J632" s="2">
        <f>Table1_1[[#This Row],[Sales]]-Table1_1[[#This Row],[Sales]]*Table1_1[[#This Row],[Discount]]</f>
        <v>2439.0450000000001</v>
      </c>
      <c r="K632" s="1">
        <v>45021</v>
      </c>
      <c r="L632" s="11">
        <v>45022</v>
      </c>
      <c r="M632">
        <f>DATEDIF(Table1_1[[#This Row],[Order Date]],Table1_1[[#This Row],[Ship Date]],"D")</f>
        <v>1</v>
      </c>
    </row>
    <row r="633" spans="1:13" x14ac:dyDescent="0.35">
      <c r="A633" t="s">
        <v>1011</v>
      </c>
      <c r="B633" t="s">
        <v>434</v>
      </c>
      <c r="C633" t="s">
        <v>1012</v>
      </c>
      <c r="D633" s="2">
        <v>4601.75</v>
      </c>
      <c r="E633">
        <v>7</v>
      </c>
      <c r="F633">
        <v>0.1</v>
      </c>
      <c r="G633" t="s">
        <v>14</v>
      </c>
      <c r="H633" t="s">
        <v>15</v>
      </c>
      <c r="I633" t="s">
        <v>20</v>
      </c>
      <c r="J633" s="2">
        <f>Table1_1[[#This Row],[Sales]]-Table1_1[[#This Row],[Sales]]*Table1_1[[#This Row],[Discount]]</f>
        <v>4141.5749999999998</v>
      </c>
      <c r="K633" s="1">
        <v>45749</v>
      </c>
      <c r="L633" s="11">
        <v>45751</v>
      </c>
      <c r="M633">
        <f>DATEDIF(Table1_1[[#This Row],[Order Date]],Table1_1[[#This Row],[Ship Date]],"D")</f>
        <v>2</v>
      </c>
    </row>
    <row r="634" spans="1:13" x14ac:dyDescent="0.35">
      <c r="A634" t="s">
        <v>1013</v>
      </c>
      <c r="B634" t="s">
        <v>184</v>
      </c>
      <c r="C634" t="s">
        <v>68</v>
      </c>
      <c r="D634" s="2">
        <v>1721.23</v>
      </c>
      <c r="E634">
        <v>7</v>
      </c>
      <c r="F634">
        <v>0.1</v>
      </c>
      <c r="G634" t="s">
        <v>39</v>
      </c>
      <c r="H634" t="s">
        <v>21</v>
      </c>
      <c r="I634" t="s">
        <v>20</v>
      </c>
      <c r="J634" s="2">
        <f>Table1_1[[#This Row],[Sales]]-Table1_1[[#This Row],[Sales]]*Table1_1[[#This Row],[Discount]]</f>
        <v>1549.107</v>
      </c>
      <c r="K634" s="1">
        <v>45366</v>
      </c>
      <c r="L634" s="11">
        <v>45372</v>
      </c>
      <c r="M634">
        <f>DATEDIF(Table1_1[[#This Row],[Order Date]],Table1_1[[#This Row],[Ship Date]],"D")</f>
        <v>6</v>
      </c>
    </row>
    <row r="635" spans="1:13" x14ac:dyDescent="0.35">
      <c r="A635" t="s">
        <v>1014</v>
      </c>
      <c r="B635" t="s">
        <v>570</v>
      </c>
      <c r="C635" t="s">
        <v>163</v>
      </c>
      <c r="D635" s="2">
        <v>4538.3900000000003</v>
      </c>
      <c r="E635">
        <v>10</v>
      </c>
      <c r="F635">
        <v>0.2</v>
      </c>
      <c r="G635" t="s">
        <v>14</v>
      </c>
      <c r="H635" t="s">
        <v>15</v>
      </c>
      <c r="I635" t="s">
        <v>43</v>
      </c>
      <c r="J635" s="2">
        <f>Table1_1[[#This Row],[Sales]]-Table1_1[[#This Row],[Sales]]*Table1_1[[#This Row],[Discount]]</f>
        <v>3630.7120000000004</v>
      </c>
      <c r="K635" s="1">
        <v>45149</v>
      </c>
      <c r="L635" s="11">
        <v>45152</v>
      </c>
      <c r="M635">
        <f>DATEDIF(Table1_1[[#This Row],[Order Date]],Table1_1[[#This Row],[Ship Date]],"D")</f>
        <v>3</v>
      </c>
    </row>
    <row r="636" spans="1:13" x14ac:dyDescent="0.35">
      <c r="A636" t="s">
        <v>1015</v>
      </c>
      <c r="B636" t="s">
        <v>445</v>
      </c>
      <c r="C636" t="s">
        <v>357</v>
      </c>
      <c r="D636" s="2">
        <v>1743.95</v>
      </c>
      <c r="E636">
        <v>8</v>
      </c>
      <c r="F636">
        <v>0</v>
      </c>
      <c r="G636" t="s">
        <v>14</v>
      </c>
      <c r="H636" t="s">
        <v>21</v>
      </c>
      <c r="I636" t="s">
        <v>43</v>
      </c>
      <c r="J636" s="2">
        <f>Table1_1[[#This Row],[Sales]]-Table1_1[[#This Row],[Sales]]*Table1_1[[#This Row],[Discount]]</f>
        <v>1743.95</v>
      </c>
      <c r="K636" s="1">
        <v>45791</v>
      </c>
      <c r="L636" s="11">
        <v>45793</v>
      </c>
      <c r="M636">
        <f>DATEDIF(Table1_1[[#This Row],[Order Date]],Table1_1[[#This Row],[Ship Date]],"D")</f>
        <v>2</v>
      </c>
    </row>
    <row r="637" spans="1:13" x14ac:dyDescent="0.35">
      <c r="A637" t="s">
        <v>1016</v>
      </c>
      <c r="B637" t="s">
        <v>277</v>
      </c>
      <c r="C637" t="s">
        <v>217</v>
      </c>
      <c r="D637" s="2">
        <v>183.82</v>
      </c>
      <c r="E637">
        <v>5</v>
      </c>
      <c r="F637">
        <v>0.3</v>
      </c>
      <c r="G637" t="s">
        <v>14</v>
      </c>
      <c r="H637" t="s">
        <v>21</v>
      </c>
      <c r="I637" t="s">
        <v>16</v>
      </c>
      <c r="J637" s="2">
        <f>Table1_1[[#This Row],[Sales]]-Table1_1[[#This Row],[Sales]]*Table1_1[[#This Row],[Discount]]</f>
        <v>128.67400000000001</v>
      </c>
      <c r="K637" s="1">
        <v>45325</v>
      </c>
      <c r="L637" s="11">
        <v>45332</v>
      </c>
      <c r="M637">
        <f>DATEDIF(Table1_1[[#This Row],[Order Date]],Table1_1[[#This Row],[Ship Date]],"D")</f>
        <v>7</v>
      </c>
    </row>
    <row r="638" spans="1:13" x14ac:dyDescent="0.35">
      <c r="A638" t="s">
        <v>1017</v>
      </c>
      <c r="B638" t="s">
        <v>264</v>
      </c>
      <c r="C638" t="s">
        <v>259</v>
      </c>
      <c r="D638" s="2">
        <v>4143.8900000000003</v>
      </c>
      <c r="E638">
        <v>7</v>
      </c>
      <c r="F638">
        <v>0.3</v>
      </c>
      <c r="G638" t="s">
        <v>19</v>
      </c>
      <c r="H638" t="s">
        <v>21</v>
      </c>
      <c r="I638" t="s">
        <v>20</v>
      </c>
      <c r="J638" s="2">
        <f>Table1_1[[#This Row],[Sales]]-Table1_1[[#This Row],[Sales]]*Table1_1[[#This Row],[Discount]]</f>
        <v>2900.723</v>
      </c>
      <c r="K638" s="1">
        <v>45023</v>
      </c>
      <c r="L638" s="11">
        <v>45025</v>
      </c>
      <c r="M638">
        <f>DATEDIF(Table1_1[[#This Row],[Order Date]],Table1_1[[#This Row],[Ship Date]],"D")</f>
        <v>2</v>
      </c>
    </row>
    <row r="639" spans="1:13" x14ac:dyDescent="0.35">
      <c r="A639" t="s">
        <v>1018</v>
      </c>
      <c r="B639" t="s">
        <v>1019</v>
      </c>
      <c r="C639" t="s">
        <v>223</v>
      </c>
      <c r="D639" s="2">
        <v>4827.8100000000004</v>
      </c>
      <c r="E639">
        <v>4</v>
      </c>
      <c r="F639">
        <v>0.3</v>
      </c>
      <c r="G639" t="s">
        <v>14</v>
      </c>
      <c r="H639" t="s">
        <v>15</v>
      </c>
      <c r="I639" t="s">
        <v>43</v>
      </c>
      <c r="J639" s="2">
        <f>Table1_1[[#This Row],[Sales]]-Table1_1[[#This Row],[Sales]]*Table1_1[[#This Row],[Discount]]</f>
        <v>3379.4670000000006</v>
      </c>
      <c r="K639" s="1">
        <v>44953</v>
      </c>
      <c r="L639" s="11">
        <v>44955</v>
      </c>
      <c r="M639">
        <f>DATEDIF(Table1_1[[#This Row],[Order Date]],Table1_1[[#This Row],[Ship Date]],"D")</f>
        <v>2</v>
      </c>
    </row>
    <row r="640" spans="1:13" x14ac:dyDescent="0.35">
      <c r="A640" t="s">
        <v>1020</v>
      </c>
      <c r="B640" t="s">
        <v>486</v>
      </c>
      <c r="C640" t="s">
        <v>285</v>
      </c>
      <c r="D640" s="2">
        <v>4909.97</v>
      </c>
      <c r="E640">
        <v>5</v>
      </c>
      <c r="F640">
        <v>0.1</v>
      </c>
      <c r="G640" t="s">
        <v>14</v>
      </c>
      <c r="H640" t="s">
        <v>21</v>
      </c>
      <c r="I640" t="s">
        <v>20</v>
      </c>
      <c r="J640" s="2">
        <f>Table1_1[[#This Row],[Sales]]-Table1_1[[#This Row],[Sales]]*Table1_1[[#This Row],[Discount]]</f>
        <v>4418.973</v>
      </c>
      <c r="K640" s="1">
        <v>45741</v>
      </c>
      <c r="L640" s="11">
        <v>45747</v>
      </c>
      <c r="M640">
        <f>DATEDIF(Table1_1[[#This Row],[Order Date]],Table1_1[[#This Row],[Ship Date]],"D")</f>
        <v>6</v>
      </c>
    </row>
    <row r="641" spans="1:13" x14ac:dyDescent="0.35">
      <c r="A641" t="s">
        <v>1021</v>
      </c>
      <c r="B641" t="s">
        <v>801</v>
      </c>
      <c r="C641" t="s">
        <v>251</v>
      </c>
      <c r="D641" s="2">
        <v>1268.49</v>
      </c>
      <c r="E641">
        <v>8</v>
      </c>
      <c r="F641">
        <v>0</v>
      </c>
      <c r="G641" t="s">
        <v>39</v>
      </c>
      <c r="H641" t="s">
        <v>15</v>
      </c>
      <c r="I641" t="s">
        <v>43</v>
      </c>
      <c r="J641" s="2">
        <f>Table1_1[[#This Row],[Sales]]-Table1_1[[#This Row],[Sales]]*Table1_1[[#This Row],[Discount]]</f>
        <v>1268.49</v>
      </c>
      <c r="K641" s="1">
        <v>45596</v>
      </c>
      <c r="L641" s="11">
        <v>45602</v>
      </c>
      <c r="M641">
        <f>DATEDIF(Table1_1[[#This Row],[Order Date]],Table1_1[[#This Row],[Ship Date]],"D")</f>
        <v>6</v>
      </c>
    </row>
    <row r="642" spans="1:13" x14ac:dyDescent="0.35">
      <c r="A642" t="s">
        <v>1022</v>
      </c>
      <c r="B642" t="s">
        <v>652</v>
      </c>
      <c r="C642" t="s">
        <v>273</v>
      </c>
      <c r="D642" s="2">
        <v>3477.19</v>
      </c>
      <c r="E642">
        <v>9</v>
      </c>
      <c r="F642">
        <v>0.1</v>
      </c>
      <c r="G642" t="s">
        <v>39</v>
      </c>
      <c r="H642" t="s">
        <v>21</v>
      </c>
      <c r="I642" t="s">
        <v>16</v>
      </c>
      <c r="J642" s="2">
        <f>Table1_1[[#This Row],[Sales]]-Table1_1[[#This Row],[Sales]]*Table1_1[[#This Row],[Discount]]</f>
        <v>3129.471</v>
      </c>
      <c r="K642" s="1">
        <v>45358</v>
      </c>
      <c r="L642" s="11">
        <v>45365</v>
      </c>
      <c r="M642">
        <f>DATEDIF(Table1_1[[#This Row],[Order Date]],Table1_1[[#This Row],[Ship Date]],"D")</f>
        <v>7</v>
      </c>
    </row>
    <row r="643" spans="1:13" x14ac:dyDescent="0.35">
      <c r="A643" t="s">
        <v>1023</v>
      </c>
      <c r="B643" t="s">
        <v>655</v>
      </c>
      <c r="C643" t="s">
        <v>448</v>
      </c>
      <c r="D643" s="2">
        <v>3724.89</v>
      </c>
      <c r="E643">
        <v>2</v>
      </c>
      <c r="F643">
        <v>0.3</v>
      </c>
      <c r="G643" t="s">
        <v>14</v>
      </c>
      <c r="H643" t="s">
        <v>21</v>
      </c>
      <c r="I643" t="s">
        <v>16</v>
      </c>
      <c r="J643" s="2">
        <f>Table1_1[[#This Row],[Sales]]-Table1_1[[#This Row],[Sales]]*Table1_1[[#This Row],[Discount]]</f>
        <v>2607.4229999999998</v>
      </c>
      <c r="K643" s="1">
        <v>45827</v>
      </c>
      <c r="L643" s="11">
        <v>45830</v>
      </c>
      <c r="M643">
        <f>DATEDIF(Table1_1[[#This Row],[Order Date]],Table1_1[[#This Row],[Ship Date]],"D")</f>
        <v>3</v>
      </c>
    </row>
    <row r="644" spans="1:13" x14ac:dyDescent="0.35">
      <c r="A644" t="s">
        <v>1024</v>
      </c>
      <c r="B644" t="s">
        <v>206</v>
      </c>
      <c r="C644" t="s">
        <v>293</v>
      </c>
      <c r="D644" s="2">
        <v>4672.2</v>
      </c>
      <c r="E644">
        <v>3</v>
      </c>
      <c r="F644">
        <v>0.3</v>
      </c>
      <c r="G644" t="s">
        <v>19</v>
      </c>
      <c r="H644" t="s">
        <v>15</v>
      </c>
      <c r="I644" t="s">
        <v>20</v>
      </c>
      <c r="J644" s="2">
        <f>Table1_1[[#This Row],[Sales]]-Table1_1[[#This Row],[Sales]]*Table1_1[[#This Row],[Discount]]</f>
        <v>3270.54</v>
      </c>
      <c r="K644" s="1">
        <v>45123</v>
      </c>
      <c r="L644" s="11">
        <v>45124</v>
      </c>
      <c r="M644">
        <f>DATEDIF(Table1_1[[#This Row],[Order Date]],Table1_1[[#This Row],[Ship Date]],"D")</f>
        <v>1</v>
      </c>
    </row>
    <row r="645" spans="1:13" x14ac:dyDescent="0.35">
      <c r="A645" t="s">
        <v>1025</v>
      </c>
      <c r="B645" t="s">
        <v>338</v>
      </c>
      <c r="C645" t="s">
        <v>175</v>
      </c>
      <c r="D645" s="2">
        <v>3683.73</v>
      </c>
      <c r="E645">
        <v>9</v>
      </c>
      <c r="F645">
        <v>0.3</v>
      </c>
      <c r="G645" t="s">
        <v>14</v>
      </c>
      <c r="H645" t="s">
        <v>15</v>
      </c>
      <c r="I645" t="s">
        <v>20</v>
      </c>
      <c r="J645" s="2">
        <f>Table1_1[[#This Row],[Sales]]-Table1_1[[#This Row],[Sales]]*Table1_1[[#This Row],[Discount]]</f>
        <v>2578.6109999999999</v>
      </c>
      <c r="K645" s="1">
        <v>45740</v>
      </c>
      <c r="L645" s="11">
        <v>45745</v>
      </c>
      <c r="M645">
        <f>DATEDIF(Table1_1[[#This Row],[Order Date]],Table1_1[[#This Row],[Ship Date]],"D")</f>
        <v>5</v>
      </c>
    </row>
    <row r="646" spans="1:13" x14ac:dyDescent="0.35">
      <c r="A646" t="s">
        <v>1026</v>
      </c>
      <c r="B646" t="s">
        <v>548</v>
      </c>
      <c r="C646" t="s">
        <v>243</v>
      </c>
      <c r="D646" s="2">
        <v>1008.31</v>
      </c>
      <c r="E646">
        <v>9</v>
      </c>
      <c r="F646">
        <v>0.2</v>
      </c>
      <c r="G646" t="s">
        <v>14</v>
      </c>
      <c r="H646" t="s">
        <v>21</v>
      </c>
      <c r="I646" t="s">
        <v>43</v>
      </c>
      <c r="J646" s="2">
        <f>Table1_1[[#This Row],[Sales]]-Table1_1[[#This Row],[Sales]]*Table1_1[[#This Row],[Discount]]</f>
        <v>806.64799999999991</v>
      </c>
      <c r="K646" s="1">
        <v>45417</v>
      </c>
      <c r="L646" s="11">
        <v>45424</v>
      </c>
      <c r="M646">
        <f>DATEDIF(Table1_1[[#This Row],[Order Date]],Table1_1[[#This Row],[Ship Date]],"D")</f>
        <v>7</v>
      </c>
    </row>
    <row r="647" spans="1:13" x14ac:dyDescent="0.35">
      <c r="A647" t="s">
        <v>1027</v>
      </c>
      <c r="B647" t="s">
        <v>556</v>
      </c>
      <c r="C647" t="s">
        <v>542</v>
      </c>
      <c r="D647" s="2">
        <v>1495.95</v>
      </c>
      <c r="E647">
        <v>4</v>
      </c>
      <c r="F647">
        <v>0</v>
      </c>
      <c r="G647" t="s">
        <v>19</v>
      </c>
      <c r="H647" t="s">
        <v>15</v>
      </c>
      <c r="I647" t="s">
        <v>43</v>
      </c>
      <c r="J647" s="2">
        <f>Table1_1[[#This Row],[Sales]]-Table1_1[[#This Row],[Sales]]*Table1_1[[#This Row],[Discount]]</f>
        <v>1495.95</v>
      </c>
      <c r="K647" s="1">
        <v>45003</v>
      </c>
      <c r="L647" s="11">
        <v>45004</v>
      </c>
      <c r="M647">
        <f>DATEDIF(Table1_1[[#This Row],[Order Date]],Table1_1[[#This Row],[Ship Date]],"D")</f>
        <v>1</v>
      </c>
    </row>
    <row r="648" spans="1:13" x14ac:dyDescent="0.35">
      <c r="A648" t="s">
        <v>1028</v>
      </c>
      <c r="B648" t="s">
        <v>594</v>
      </c>
      <c r="C648" t="s">
        <v>157</v>
      </c>
      <c r="D648" s="2">
        <v>2982.43</v>
      </c>
      <c r="E648">
        <v>4</v>
      </c>
      <c r="F648">
        <v>0.3</v>
      </c>
      <c r="G648" t="s">
        <v>14</v>
      </c>
      <c r="H648" t="s">
        <v>15</v>
      </c>
      <c r="I648" t="s">
        <v>20</v>
      </c>
      <c r="J648" s="2">
        <f>Table1_1[[#This Row],[Sales]]-Table1_1[[#This Row],[Sales]]*Table1_1[[#This Row],[Discount]]</f>
        <v>2087.701</v>
      </c>
      <c r="K648" s="1">
        <v>45024</v>
      </c>
      <c r="L648" s="11">
        <v>45025</v>
      </c>
      <c r="M648">
        <f>DATEDIF(Table1_1[[#This Row],[Order Date]],Table1_1[[#This Row],[Ship Date]],"D")</f>
        <v>1</v>
      </c>
    </row>
    <row r="649" spans="1:13" x14ac:dyDescent="0.35">
      <c r="A649" t="s">
        <v>1029</v>
      </c>
      <c r="B649" t="s">
        <v>486</v>
      </c>
      <c r="C649" t="s">
        <v>94</v>
      </c>
      <c r="D649" s="2">
        <v>4063.31</v>
      </c>
      <c r="E649">
        <v>4</v>
      </c>
      <c r="F649">
        <v>0</v>
      </c>
      <c r="G649" t="s">
        <v>14</v>
      </c>
      <c r="H649" t="s">
        <v>15</v>
      </c>
      <c r="I649" t="s">
        <v>16</v>
      </c>
      <c r="J649" s="2">
        <f>Table1_1[[#This Row],[Sales]]-Table1_1[[#This Row],[Sales]]*Table1_1[[#This Row],[Discount]]</f>
        <v>4063.31</v>
      </c>
      <c r="K649" s="1">
        <v>45127</v>
      </c>
      <c r="L649" s="11">
        <v>45129</v>
      </c>
      <c r="M649">
        <f>DATEDIF(Table1_1[[#This Row],[Order Date]],Table1_1[[#This Row],[Ship Date]],"D")</f>
        <v>2</v>
      </c>
    </row>
    <row r="650" spans="1:13" x14ac:dyDescent="0.35">
      <c r="A650" t="s">
        <v>1030</v>
      </c>
      <c r="B650" t="s">
        <v>609</v>
      </c>
      <c r="C650" t="s">
        <v>329</v>
      </c>
      <c r="D650" s="2">
        <v>3313.76</v>
      </c>
      <c r="E650">
        <v>4</v>
      </c>
      <c r="F650">
        <v>0.3</v>
      </c>
      <c r="G650" t="s">
        <v>14</v>
      </c>
      <c r="H650" t="s">
        <v>15</v>
      </c>
      <c r="I650" t="s">
        <v>20</v>
      </c>
      <c r="J650" s="2">
        <f>Table1_1[[#This Row],[Sales]]-Table1_1[[#This Row],[Sales]]*Table1_1[[#This Row],[Discount]]</f>
        <v>2319.6320000000001</v>
      </c>
      <c r="K650" s="1">
        <v>45819</v>
      </c>
      <c r="L650" s="11">
        <v>45825</v>
      </c>
      <c r="M650">
        <f>DATEDIF(Table1_1[[#This Row],[Order Date]],Table1_1[[#This Row],[Ship Date]],"D")</f>
        <v>6</v>
      </c>
    </row>
    <row r="651" spans="1:13" x14ac:dyDescent="0.35">
      <c r="A651" t="s">
        <v>1031</v>
      </c>
      <c r="B651" t="s">
        <v>906</v>
      </c>
      <c r="C651" t="s">
        <v>91</v>
      </c>
      <c r="D651" s="2">
        <v>3101.12</v>
      </c>
      <c r="E651">
        <v>4</v>
      </c>
      <c r="F651">
        <v>0.1</v>
      </c>
      <c r="G651" t="s">
        <v>14</v>
      </c>
      <c r="H651" t="s">
        <v>21</v>
      </c>
      <c r="I651" t="s">
        <v>16</v>
      </c>
      <c r="J651" s="2">
        <f>Table1_1[[#This Row],[Sales]]-Table1_1[[#This Row],[Sales]]*Table1_1[[#This Row],[Discount]]</f>
        <v>2791.0079999999998</v>
      </c>
      <c r="K651" s="1">
        <v>45449</v>
      </c>
      <c r="L651" s="11">
        <v>45451</v>
      </c>
      <c r="M651">
        <f>DATEDIF(Table1_1[[#This Row],[Order Date]],Table1_1[[#This Row],[Ship Date]],"D")</f>
        <v>2</v>
      </c>
    </row>
    <row r="652" spans="1:13" x14ac:dyDescent="0.35">
      <c r="A652" t="s">
        <v>1032</v>
      </c>
      <c r="B652" t="s">
        <v>670</v>
      </c>
      <c r="C652" t="s">
        <v>46</v>
      </c>
      <c r="D652" s="2">
        <v>4833.92</v>
      </c>
      <c r="E652">
        <v>4</v>
      </c>
      <c r="F652">
        <v>0.3</v>
      </c>
      <c r="G652" t="s">
        <v>14</v>
      </c>
      <c r="H652" t="s">
        <v>21</v>
      </c>
      <c r="I652" t="s">
        <v>43</v>
      </c>
      <c r="J652" s="2">
        <f>Table1_1[[#This Row],[Sales]]-Table1_1[[#This Row],[Sales]]*Table1_1[[#This Row],[Discount]]</f>
        <v>3383.7440000000001</v>
      </c>
      <c r="K652" s="1">
        <v>45443</v>
      </c>
      <c r="L652" s="11">
        <v>45445</v>
      </c>
      <c r="M652">
        <f>DATEDIF(Table1_1[[#This Row],[Order Date]],Table1_1[[#This Row],[Ship Date]],"D")</f>
        <v>2</v>
      </c>
    </row>
    <row r="653" spans="1:13" x14ac:dyDescent="0.35">
      <c r="A653" t="s">
        <v>1033</v>
      </c>
      <c r="B653" t="s">
        <v>1034</v>
      </c>
      <c r="C653" t="s">
        <v>293</v>
      </c>
      <c r="D653" s="2">
        <v>4098.49</v>
      </c>
      <c r="E653">
        <v>5</v>
      </c>
      <c r="F653">
        <v>0.2</v>
      </c>
      <c r="G653" t="s">
        <v>19</v>
      </c>
      <c r="H653" t="s">
        <v>15</v>
      </c>
      <c r="I653" t="s">
        <v>20</v>
      </c>
      <c r="J653" s="2">
        <f>Table1_1[[#This Row],[Sales]]-Table1_1[[#This Row],[Sales]]*Table1_1[[#This Row],[Discount]]</f>
        <v>3278.7919999999999</v>
      </c>
      <c r="K653" s="1">
        <v>45779</v>
      </c>
      <c r="L653" s="11">
        <v>45786</v>
      </c>
      <c r="M653">
        <f>DATEDIF(Table1_1[[#This Row],[Order Date]],Table1_1[[#This Row],[Ship Date]],"D")</f>
        <v>7</v>
      </c>
    </row>
    <row r="654" spans="1:13" x14ac:dyDescent="0.35">
      <c r="A654" t="s">
        <v>1035</v>
      </c>
      <c r="B654" t="s">
        <v>426</v>
      </c>
      <c r="C654" t="s">
        <v>166</v>
      </c>
      <c r="D654" s="2">
        <v>1051.54</v>
      </c>
      <c r="E654">
        <v>2</v>
      </c>
      <c r="F654">
        <v>0.2</v>
      </c>
      <c r="G654" t="s">
        <v>14</v>
      </c>
      <c r="H654" t="s">
        <v>15</v>
      </c>
      <c r="I654" t="s">
        <v>43</v>
      </c>
      <c r="J654" s="2">
        <f>Table1_1[[#This Row],[Sales]]-Table1_1[[#This Row],[Sales]]*Table1_1[[#This Row],[Discount]]</f>
        <v>841.23199999999997</v>
      </c>
      <c r="K654" s="1">
        <v>45431</v>
      </c>
      <c r="L654" s="11">
        <v>45437</v>
      </c>
      <c r="M654">
        <f>DATEDIF(Table1_1[[#This Row],[Order Date]],Table1_1[[#This Row],[Ship Date]],"D")</f>
        <v>6</v>
      </c>
    </row>
    <row r="655" spans="1:13" x14ac:dyDescent="0.35">
      <c r="A655" t="s">
        <v>1036</v>
      </c>
      <c r="B655" t="s">
        <v>177</v>
      </c>
      <c r="C655" t="s">
        <v>243</v>
      </c>
      <c r="D655" s="2">
        <v>697.62</v>
      </c>
      <c r="E655">
        <v>10</v>
      </c>
      <c r="F655">
        <v>0</v>
      </c>
      <c r="G655" t="s">
        <v>19</v>
      </c>
      <c r="H655" t="s">
        <v>15</v>
      </c>
      <c r="I655" t="s">
        <v>20</v>
      </c>
      <c r="J655" s="2">
        <f>Table1_1[[#This Row],[Sales]]-Table1_1[[#This Row],[Sales]]*Table1_1[[#This Row],[Discount]]</f>
        <v>697.62</v>
      </c>
      <c r="K655" s="1">
        <v>45818</v>
      </c>
      <c r="L655" s="11">
        <v>45821</v>
      </c>
      <c r="M655">
        <f>DATEDIF(Table1_1[[#This Row],[Order Date]],Table1_1[[#This Row],[Ship Date]],"D")</f>
        <v>3</v>
      </c>
    </row>
    <row r="656" spans="1:13" x14ac:dyDescent="0.35">
      <c r="A656" t="s">
        <v>1037</v>
      </c>
      <c r="B656" t="s">
        <v>767</v>
      </c>
      <c r="C656" t="s">
        <v>278</v>
      </c>
      <c r="D656" s="2">
        <v>217.25</v>
      </c>
      <c r="E656">
        <v>7</v>
      </c>
      <c r="F656">
        <v>0.2</v>
      </c>
      <c r="G656" t="s">
        <v>14</v>
      </c>
      <c r="H656" t="s">
        <v>15</v>
      </c>
      <c r="I656" t="s">
        <v>16</v>
      </c>
      <c r="J656" s="2">
        <f>Table1_1[[#This Row],[Sales]]-Table1_1[[#This Row],[Sales]]*Table1_1[[#This Row],[Discount]]</f>
        <v>173.8</v>
      </c>
      <c r="K656" s="1">
        <v>45540</v>
      </c>
      <c r="L656" s="11">
        <v>45547</v>
      </c>
      <c r="M656">
        <f>DATEDIF(Table1_1[[#This Row],[Order Date]],Table1_1[[#This Row],[Ship Date]],"D")</f>
        <v>7</v>
      </c>
    </row>
    <row r="657" spans="1:13" x14ac:dyDescent="0.35">
      <c r="A657" t="s">
        <v>1038</v>
      </c>
      <c r="B657" t="s">
        <v>597</v>
      </c>
      <c r="C657" t="s">
        <v>135</v>
      </c>
      <c r="D657" s="2">
        <v>3500.27</v>
      </c>
      <c r="E657">
        <v>5</v>
      </c>
      <c r="F657">
        <v>0.1</v>
      </c>
      <c r="G657" t="s">
        <v>14</v>
      </c>
      <c r="H657" t="s">
        <v>15</v>
      </c>
      <c r="I657" t="s">
        <v>43</v>
      </c>
      <c r="J657" s="2">
        <f>Table1_1[[#This Row],[Sales]]-Table1_1[[#This Row],[Sales]]*Table1_1[[#This Row],[Discount]]</f>
        <v>3150.2429999999999</v>
      </c>
      <c r="K657" s="1">
        <v>45591</v>
      </c>
      <c r="L657" s="11">
        <v>45598</v>
      </c>
      <c r="M657">
        <f>DATEDIF(Table1_1[[#This Row],[Order Date]],Table1_1[[#This Row],[Ship Date]],"D")</f>
        <v>7</v>
      </c>
    </row>
    <row r="658" spans="1:13" x14ac:dyDescent="0.35">
      <c r="A658" t="s">
        <v>1039</v>
      </c>
      <c r="B658" t="s">
        <v>835</v>
      </c>
      <c r="C658" t="s">
        <v>329</v>
      </c>
      <c r="D658" s="2">
        <v>2616.42</v>
      </c>
      <c r="E658">
        <v>2</v>
      </c>
      <c r="F658">
        <v>0.1</v>
      </c>
      <c r="G658" t="s">
        <v>39</v>
      </c>
      <c r="H658" t="s">
        <v>21</v>
      </c>
      <c r="I658" t="s">
        <v>16</v>
      </c>
      <c r="J658" s="2">
        <f>Table1_1[[#This Row],[Sales]]-Table1_1[[#This Row],[Sales]]*Table1_1[[#This Row],[Discount]]</f>
        <v>2354.7780000000002</v>
      </c>
      <c r="K658" s="1">
        <v>45673</v>
      </c>
      <c r="L658" s="11">
        <v>45680</v>
      </c>
      <c r="M658">
        <f>DATEDIF(Table1_1[[#This Row],[Order Date]],Table1_1[[#This Row],[Ship Date]],"D")</f>
        <v>7</v>
      </c>
    </row>
    <row r="659" spans="1:13" x14ac:dyDescent="0.35">
      <c r="A659" t="s">
        <v>1040</v>
      </c>
      <c r="B659" t="s">
        <v>599</v>
      </c>
      <c r="C659" t="s">
        <v>204</v>
      </c>
      <c r="D659" s="2">
        <v>306.33999999999997</v>
      </c>
      <c r="E659">
        <v>4</v>
      </c>
      <c r="F659">
        <v>0.1</v>
      </c>
      <c r="G659" t="s">
        <v>39</v>
      </c>
      <c r="H659" t="s">
        <v>21</v>
      </c>
      <c r="I659" t="s">
        <v>16</v>
      </c>
      <c r="J659" s="2">
        <f>Table1_1[[#This Row],[Sales]]-Table1_1[[#This Row],[Sales]]*Table1_1[[#This Row],[Discount]]</f>
        <v>275.70599999999996</v>
      </c>
      <c r="K659" s="1">
        <v>45123</v>
      </c>
      <c r="L659" s="11">
        <v>45130</v>
      </c>
      <c r="M659">
        <f>DATEDIF(Table1_1[[#This Row],[Order Date]],Table1_1[[#This Row],[Ship Date]],"D")</f>
        <v>7</v>
      </c>
    </row>
    <row r="660" spans="1:13" x14ac:dyDescent="0.35">
      <c r="A660" t="s">
        <v>1041</v>
      </c>
      <c r="B660" t="s">
        <v>1042</v>
      </c>
      <c r="C660" t="s">
        <v>278</v>
      </c>
      <c r="D660" s="2">
        <v>1172.73</v>
      </c>
      <c r="E660">
        <v>9</v>
      </c>
      <c r="F660">
        <v>0.2</v>
      </c>
      <c r="G660" t="s">
        <v>39</v>
      </c>
      <c r="H660" t="s">
        <v>15</v>
      </c>
      <c r="I660" t="s">
        <v>20</v>
      </c>
      <c r="J660" s="2">
        <f>Table1_1[[#This Row],[Sales]]-Table1_1[[#This Row],[Sales]]*Table1_1[[#This Row],[Discount]]</f>
        <v>938.18399999999997</v>
      </c>
      <c r="K660" s="1">
        <v>45707</v>
      </c>
      <c r="L660" s="11">
        <v>45713</v>
      </c>
      <c r="M660">
        <f>DATEDIF(Table1_1[[#This Row],[Order Date]],Table1_1[[#This Row],[Ship Date]],"D")</f>
        <v>6</v>
      </c>
    </row>
    <row r="661" spans="1:13" x14ac:dyDescent="0.35">
      <c r="A661" t="s">
        <v>1043</v>
      </c>
      <c r="B661" t="s">
        <v>345</v>
      </c>
      <c r="C661" t="s">
        <v>336</v>
      </c>
      <c r="D661" s="2">
        <v>4666.1499999999996</v>
      </c>
      <c r="E661">
        <v>3</v>
      </c>
      <c r="F661">
        <v>0</v>
      </c>
      <c r="G661" t="s">
        <v>14</v>
      </c>
      <c r="H661" t="s">
        <v>21</v>
      </c>
      <c r="I661" t="s">
        <v>16</v>
      </c>
      <c r="J661" s="2">
        <f>Table1_1[[#This Row],[Sales]]-Table1_1[[#This Row],[Sales]]*Table1_1[[#This Row],[Discount]]</f>
        <v>4666.1499999999996</v>
      </c>
      <c r="K661" s="1">
        <v>45123</v>
      </c>
      <c r="L661" s="11">
        <v>45130</v>
      </c>
      <c r="M661">
        <f>DATEDIF(Table1_1[[#This Row],[Order Date]],Table1_1[[#This Row],[Ship Date]],"D")</f>
        <v>7</v>
      </c>
    </row>
    <row r="662" spans="1:13" x14ac:dyDescent="0.35">
      <c r="A662" t="s">
        <v>1044</v>
      </c>
      <c r="B662" t="s">
        <v>239</v>
      </c>
      <c r="C662" t="s">
        <v>357</v>
      </c>
      <c r="D662" s="2">
        <v>1772.04</v>
      </c>
      <c r="E662">
        <v>1</v>
      </c>
      <c r="F662">
        <v>0</v>
      </c>
      <c r="G662" t="s">
        <v>19</v>
      </c>
      <c r="H662" t="s">
        <v>15</v>
      </c>
      <c r="I662" t="s">
        <v>20</v>
      </c>
      <c r="J662" s="2">
        <f>Table1_1[[#This Row],[Sales]]-Table1_1[[#This Row],[Sales]]*Table1_1[[#This Row],[Discount]]</f>
        <v>1772.04</v>
      </c>
      <c r="K662" s="1">
        <v>45699</v>
      </c>
      <c r="L662" s="11">
        <v>45706</v>
      </c>
      <c r="M662">
        <f>DATEDIF(Table1_1[[#This Row],[Order Date]],Table1_1[[#This Row],[Ship Date]],"D")</f>
        <v>7</v>
      </c>
    </row>
    <row r="663" spans="1:13" x14ac:dyDescent="0.35">
      <c r="A663" t="s">
        <v>1045</v>
      </c>
      <c r="B663" t="s">
        <v>295</v>
      </c>
      <c r="C663" t="s">
        <v>511</v>
      </c>
      <c r="D663" s="2">
        <v>565.4</v>
      </c>
      <c r="E663">
        <v>9</v>
      </c>
      <c r="F663">
        <v>0.2</v>
      </c>
      <c r="G663" t="s">
        <v>14</v>
      </c>
      <c r="H663" t="s">
        <v>15</v>
      </c>
      <c r="I663" t="s">
        <v>16</v>
      </c>
      <c r="J663" s="2">
        <f>Table1_1[[#This Row],[Sales]]-Table1_1[[#This Row],[Sales]]*Table1_1[[#This Row],[Discount]]</f>
        <v>452.32</v>
      </c>
      <c r="K663" s="1">
        <v>45678</v>
      </c>
      <c r="L663" s="11">
        <v>45683</v>
      </c>
      <c r="M663">
        <f>DATEDIF(Table1_1[[#This Row],[Order Date]],Table1_1[[#This Row],[Ship Date]],"D")</f>
        <v>5</v>
      </c>
    </row>
    <row r="664" spans="1:13" x14ac:dyDescent="0.35">
      <c r="A664" t="s">
        <v>1046</v>
      </c>
      <c r="B664" t="s">
        <v>338</v>
      </c>
      <c r="C664" t="s">
        <v>243</v>
      </c>
      <c r="D664" s="2">
        <v>2913.61</v>
      </c>
      <c r="E664">
        <v>5</v>
      </c>
      <c r="F664">
        <v>0.2</v>
      </c>
      <c r="G664" t="s">
        <v>39</v>
      </c>
      <c r="H664" t="s">
        <v>15</v>
      </c>
      <c r="I664" t="s">
        <v>20</v>
      </c>
      <c r="J664" s="2">
        <f>Table1_1[[#This Row],[Sales]]-Table1_1[[#This Row],[Sales]]*Table1_1[[#This Row],[Discount]]</f>
        <v>2330.8879999999999</v>
      </c>
      <c r="K664" s="1">
        <v>45085</v>
      </c>
      <c r="L664" s="11">
        <v>45086</v>
      </c>
      <c r="M664">
        <f>DATEDIF(Table1_1[[#This Row],[Order Date]],Table1_1[[#This Row],[Ship Date]],"D")</f>
        <v>1</v>
      </c>
    </row>
    <row r="665" spans="1:13" x14ac:dyDescent="0.35">
      <c r="A665" t="s">
        <v>1047</v>
      </c>
      <c r="B665" t="s">
        <v>365</v>
      </c>
      <c r="C665" t="s">
        <v>197</v>
      </c>
      <c r="D665" s="2">
        <v>1688.2</v>
      </c>
      <c r="E665">
        <v>6</v>
      </c>
      <c r="F665">
        <v>0.3</v>
      </c>
      <c r="G665" t="s">
        <v>14</v>
      </c>
      <c r="H665" t="s">
        <v>15</v>
      </c>
      <c r="I665" t="s">
        <v>20</v>
      </c>
      <c r="J665" s="2">
        <f>Table1_1[[#This Row],[Sales]]-Table1_1[[#This Row],[Sales]]*Table1_1[[#This Row],[Discount]]</f>
        <v>1181.74</v>
      </c>
      <c r="K665" s="1">
        <v>44931</v>
      </c>
      <c r="L665" s="11">
        <v>44936</v>
      </c>
      <c r="M665">
        <f>DATEDIF(Table1_1[[#This Row],[Order Date]],Table1_1[[#This Row],[Ship Date]],"D")</f>
        <v>5</v>
      </c>
    </row>
    <row r="666" spans="1:13" x14ac:dyDescent="0.35">
      <c r="A666" t="s">
        <v>1048</v>
      </c>
      <c r="B666" t="s">
        <v>258</v>
      </c>
      <c r="C666" t="s">
        <v>448</v>
      </c>
      <c r="D666" s="2">
        <v>1808.45</v>
      </c>
      <c r="E666">
        <v>9</v>
      </c>
      <c r="F666">
        <v>0.1</v>
      </c>
      <c r="G666" t="s">
        <v>14</v>
      </c>
      <c r="H666" t="s">
        <v>21</v>
      </c>
      <c r="I666" t="s">
        <v>43</v>
      </c>
      <c r="J666" s="2">
        <f>Table1_1[[#This Row],[Sales]]-Table1_1[[#This Row],[Sales]]*Table1_1[[#This Row],[Discount]]</f>
        <v>1627.605</v>
      </c>
      <c r="K666" s="1">
        <v>45705</v>
      </c>
      <c r="L666" s="11">
        <v>45709</v>
      </c>
      <c r="M666">
        <f>DATEDIF(Table1_1[[#This Row],[Order Date]],Table1_1[[#This Row],[Ship Date]],"D")</f>
        <v>4</v>
      </c>
    </row>
    <row r="667" spans="1:13" x14ac:dyDescent="0.35">
      <c r="A667" t="s">
        <v>1049</v>
      </c>
      <c r="B667" t="s">
        <v>832</v>
      </c>
      <c r="C667" t="s">
        <v>143</v>
      </c>
      <c r="D667" s="2">
        <v>2578.1</v>
      </c>
      <c r="E667">
        <v>10</v>
      </c>
      <c r="F667">
        <v>0.3</v>
      </c>
      <c r="G667" t="s">
        <v>14</v>
      </c>
      <c r="H667" t="s">
        <v>21</v>
      </c>
      <c r="I667" t="s">
        <v>16</v>
      </c>
      <c r="J667" s="2">
        <f>Table1_1[[#This Row],[Sales]]-Table1_1[[#This Row],[Sales]]*Table1_1[[#This Row],[Discount]]</f>
        <v>1804.67</v>
      </c>
      <c r="K667" s="1">
        <v>45719</v>
      </c>
      <c r="L667" s="11">
        <v>45723</v>
      </c>
      <c r="M667">
        <f>DATEDIF(Table1_1[[#This Row],[Order Date]],Table1_1[[#This Row],[Ship Date]],"D")</f>
        <v>4</v>
      </c>
    </row>
    <row r="668" spans="1:13" x14ac:dyDescent="0.35">
      <c r="A668" t="s">
        <v>1050</v>
      </c>
      <c r="B668" t="s">
        <v>233</v>
      </c>
      <c r="C668" t="s">
        <v>624</v>
      </c>
      <c r="D668" s="2">
        <v>3527.19</v>
      </c>
      <c r="E668">
        <v>5</v>
      </c>
      <c r="F668">
        <v>0.1</v>
      </c>
      <c r="G668" t="s">
        <v>14</v>
      </c>
      <c r="H668" t="s">
        <v>21</v>
      </c>
      <c r="I668" t="s">
        <v>43</v>
      </c>
      <c r="J668" s="2">
        <f>Table1_1[[#This Row],[Sales]]-Table1_1[[#This Row],[Sales]]*Table1_1[[#This Row],[Discount]]</f>
        <v>3174.471</v>
      </c>
      <c r="K668" s="1">
        <v>45133</v>
      </c>
      <c r="L668" s="11">
        <v>45136</v>
      </c>
      <c r="M668">
        <f>DATEDIF(Table1_1[[#This Row],[Order Date]],Table1_1[[#This Row],[Ship Date]],"D")</f>
        <v>3</v>
      </c>
    </row>
    <row r="669" spans="1:13" x14ac:dyDescent="0.35">
      <c r="A669" t="s">
        <v>1051</v>
      </c>
      <c r="B669" t="s">
        <v>219</v>
      </c>
      <c r="C669" t="s">
        <v>240</v>
      </c>
      <c r="D669" s="2">
        <v>1348.53</v>
      </c>
      <c r="E669">
        <v>5</v>
      </c>
      <c r="F669">
        <v>0.1</v>
      </c>
      <c r="G669" t="s">
        <v>39</v>
      </c>
      <c r="H669" t="s">
        <v>15</v>
      </c>
      <c r="I669" t="s">
        <v>20</v>
      </c>
      <c r="J669" s="2">
        <f>Table1_1[[#This Row],[Sales]]-Table1_1[[#This Row],[Sales]]*Table1_1[[#This Row],[Discount]]</f>
        <v>1213.6769999999999</v>
      </c>
      <c r="K669" s="1">
        <v>45802</v>
      </c>
      <c r="L669" s="11">
        <v>45807</v>
      </c>
      <c r="M669">
        <f>DATEDIF(Table1_1[[#This Row],[Order Date]],Table1_1[[#This Row],[Ship Date]],"D")</f>
        <v>5</v>
      </c>
    </row>
    <row r="670" spans="1:13" x14ac:dyDescent="0.35">
      <c r="A670" t="s">
        <v>1052</v>
      </c>
      <c r="B670" t="s">
        <v>420</v>
      </c>
      <c r="C670" t="s">
        <v>146</v>
      </c>
      <c r="D670" s="2">
        <v>2437.5349999999999</v>
      </c>
      <c r="E670">
        <v>10</v>
      </c>
      <c r="F670">
        <v>0.3</v>
      </c>
      <c r="G670" t="s">
        <v>14</v>
      </c>
      <c r="H670" t="s">
        <v>15</v>
      </c>
      <c r="I670" t="s">
        <v>43</v>
      </c>
      <c r="J670" s="2">
        <f>Table1_1[[#This Row],[Sales]]-Table1_1[[#This Row],[Sales]]*Table1_1[[#This Row],[Discount]]</f>
        <v>1706.2745</v>
      </c>
      <c r="K670" s="1">
        <v>45336</v>
      </c>
      <c r="L670" s="11">
        <v>45342</v>
      </c>
      <c r="M670">
        <f>DATEDIF(Table1_1[[#This Row],[Order Date]],Table1_1[[#This Row],[Ship Date]],"D")</f>
        <v>6</v>
      </c>
    </row>
    <row r="671" spans="1:13" x14ac:dyDescent="0.35">
      <c r="A671" t="s">
        <v>1053</v>
      </c>
      <c r="B671" t="s">
        <v>1054</v>
      </c>
      <c r="C671" t="s">
        <v>310</v>
      </c>
      <c r="D671" s="2">
        <v>1653.11</v>
      </c>
      <c r="E671">
        <v>1</v>
      </c>
      <c r="F671">
        <v>0.1</v>
      </c>
      <c r="G671" t="s">
        <v>39</v>
      </c>
      <c r="H671" t="s">
        <v>21</v>
      </c>
      <c r="I671" t="s">
        <v>20</v>
      </c>
      <c r="J671" s="2">
        <f>Table1_1[[#This Row],[Sales]]-Table1_1[[#This Row],[Sales]]*Table1_1[[#This Row],[Discount]]</f>
        <v>1487.799</v>
      </c>
      <c r="K671" s="1">
        <v>45348</v>
      </c>
      <c r="L671" s="11">
        <v>45353</v>
      </c>
      <c r="M671">
        <f>DATEDIF(Table1_1[[#This Row],[Order Date]],Table1_1[[#This Row],[Ship Date]],"D")</f>
        <v>5</v>
      </c>
    </row>
    <row r="672" spans="1:13" x14ac:dyDescent="0.35">
      <c r="A672" t="s">
        <v>1055</v>
      </c>
      <c r="B672" t="s">
        <v>498</v>
      </c>
      <c r="C672" t="s">
        <v>376</v>
      </c>
      <c r="D672" s="2">
        <v>3155.14</v>
      </c>
      <c r="E672">
        <v>1</v>
      </c>
      <c r="F672">
        <v>0.1</v>
      </c>
      <c r="G672" t="s">
        <v>19</v>
      </c>
      <c r="H672" t="s">
        <v>15</v>
      </c>
      <c r="I672" t="s">
        <v>20</v>
      </c>
      <c r="J672" s="2">
        <f>Table1_1[[#This Row],[Sales]]-Table1_1[[#This Row],[Sales]]*Table1_1[[#This Row],[Discount]]</f>
        <v>2839.6259999999997</v>
      </c>
      <c r="K672" s="1">
        <v>45279</v>
      </c>
      <c r="L672" s="11">
        <v>45283</v>
      </c>
      <c r="M672">
        <f>DATEDIF(Table1_1[[#This Row],[Order Date]],Table1_1[[#This Row],[Ship Date]],"D")</f>
        <v>4</v>
      </c>
    </row>
    <row r="673" spans="1:13" x14ac:dyDescent="0.35">
      <c r="A673" t="s">
        <v>1056</v>
      </c>
      <c r="B673" t="s">
        <v>1057</v>
      </c>
      <c r="C673" t="s">
        <v>77</v>
      </c>
      <c r="D673" s="2">
        <v>4126.18</v>
      </c>
      <c r="E673">
        <v>9</v>
      </c>
      <c r="F673">
        <v>0.2</v>
      </c>
      <c r="G673" t="s">
        <v>14</v>
      </c>
      <c r="H673" t="s">
        <v>15</v>
      </c>
      <c r="I673" t="s">
        <v>16</v>
      </c>
      <c r="J673" s="2">
        <f>Table1_1[[#This Row],[Sales]]-Table1_1[[#This Row],[Sales]]*Table1_1[[#This Row],[Discount]]</f>
        <v>3300.9440000000004</v>
      </c>
      <c r="K673" s="1">
        <v>45739</v>
      </c>
      <c r="L673" s="11">
        <v>45741</v>
      </c>
      <c r="M673">
        <f>DATEDIF(Table1_1[[#This Row],[Order Date]],Table1_1[[#This Row],[Ship Date]],"D")</f>
        <v>2</v>
      </c>
    </row>
    <row r="674" spans="1:13" x14ac:dyDescent="0.35">
      <c r="A674" t="s">
        <v>1058</v>
      </c>
      <c r="B674" t="s">
        <v>407</v>
      </c>
      <c r="C674" t="s">
        <v>336</v>
      </c>
      <c r="D674" s="2">
        <v>368.4</v>
      </c>
      <c r="E674">
        <v>7</v>
      </c>
      <c r="F674">
        <v>0.1</v>
      </c>
      <c r="G674" t="s">
        <v>39</v>
      </c>
      <c r="H674" t="s">
        <v>15</v>
      </c>
      <c r="I674" t="s">
        <v>16</v>
      </c>
      <c r="J674" s="2">
        <f>Table1_1[[#This Row],[Sales]]-Table1_1[[#This Row],[Sales]]*Table1_1[[#This Row],[Discount]]</f>
        <v>331.56</v>
      </c>
      <c r="K674" s="1">
        <v>45680</v>
      </c>
      <c r="L674" s="11">
        <v>45684</v>
      </c>
      <c r="M674">
        <f>DATEDIF(Table1_1[[#This Row],[Order Date]],Table1_1[[#This Row],[Ship Date]],"D")</f>
        <v>4</v>
      </c>
    </row>
    <row r="675" spans="1:13" x14ac:dyDescent="0.35">
      <c r="A675" t="s">
        <v>1059</v>
      </c>
      <c r="B675" t="s">
        <v>518</v>
      </c>
      <c r="C675" t="s">
        <v>135</v>
      </c>
      <c r="D675" s="2">
        <v>3854.54</v>
      </c>
      <c r="E675">
        <v>1</v>
      </c>
      <c r="F675">
        <v>0.3</v>
      </c>
      <c r="G675" t="s">
        <v>39</v>
      </c>
      <c r="H675" t="s">
        <v>15</v>
      </c>
      <c r="I675" t="s">
        <v>16</v>
      </c>
      <c r="J675" s="2">
        <f>Table1_1[[#This Row],[Sales]]-Table1_1[[#This Row],[Sales]]*Table1_1[[#This Row],[Discount]]</f>
        <v>2698.1779999999999</v>
      </c>
      <c r="K675" s="1">
        <v>45146</v>
      </c>
      <c r="L675" s="11">
        <v>45149</v>
      </c>
      <c r="M675">
        <f>DATEDIF(Table1_1[[#This Row],[Order Date]],Table1_1[[#This Row],[Ship Date]],"D")</f>
        <v>3</v>
      </c>
    </row>
    <row r="676" spans="1:13" x14ac:dyDescent="0.35">
      <c r="A676" t="s">
        <v>1060</v>
      </c>
      <c r="B676" t="s">
        <v>236</v>
      </c>
      <c r="C676" t="s">
        <v>135</v>
      </c>
      <c r="D676" s="2">
        <v>1197.19</v>
      </c>
      <c r="E676">
        <v>3</v>
      </c>
      <c r="F676">
        <v>0.2</v>
      </c>
      <c r="G676" t="s">
        <v>14</v>
      </c>
      <c r="H676" t="s">
        <v>15</v>
      </c>
      <c r="I676" t="s">
        <v>16</v>
      </c>
      <c r="J676" s="2">
        <f>Table1_1[[#This Row],[Sales]]-Table1_1[[#This Row],[Sales]]*Table1_1[[#This Row],[Discount]]</f>
        <v>957.75200000000007</v>
      </c>
      <c r="K676" s="1">
        <v>44942</v>
      </c>
      <c r="L676" s="11">
        <v>44947</v>
      </c>
      <c r="M676">
        <f>DATEDIF(Table1_1[[#This Row],[Order Date]],Table1_1[[#This Row],[Ship Date]],"D")</f>
        <v>5</v>
      </c>
    </row>
    <row r="677" spans="1:13" x14ac:dyDescent="0.35">
      <c r="A677" t="s">
        <v>1061</v>
      </c>
      <c r="B677" t="s">
        <v>314</v>
      </c>
      <c r="C677" t="s">
        <v>223</v>
      </c>
      <c r="D677" s="2">
        <v>4863.0600000000004</v>
      </c>
      <c r="E677">
        <v>7</v>
      </c>
      <c r="F677">
        <v>0.3</v>
      </c>
      <c r="G677" t="s">
        <v>14</v>
      </c>
      <c r="H677" t="s">
        <v>15</v>
      </c>
      <c r="I677" t="s">
        <v>20</v>
      </c>
      <c r="J677" s="2">
        <f>Table1_1[[#This Row],[Sales]]-Table1_1[[#This Row],[Sales]]*Table1_1[[#This Row],[Discount]]</f>
        <v>3404.1420000000003</v>
      </c>
      <c r="K677" s="1">
        <v>45722</v>
      </c>
      <c r="L677" s="11">
        <v>45729</v>
      </c>
      <c r="M677">
        <f>DATEDIF(Table1_1[[#This Row],[Order Date]],Table1_1[[#This Row],[Ship Date]],"D")</f>
        <v>7</v>
      </c>
    </row>
    <row r="678" spans="1:13" x14ac:dyDescent="0.35">
      <c r="A678" t="s">
        <v>1062</v>
      </c>
      <c r="B678" t="s">
        <v>270</v>
      </c>
      <c r="C678" t="s">
        <v>108</v>
      </c>
      <c r="D678" s="2">
        <v>2486.2800000000002</v>
      </c>
      <c r="E678">
        <v>4</v>
      </c>
      <c r="F678">
        <v>0.1</v>
      </c>
      <c r="G678" t="s">
        <v>14</v>
      </c>
      <c r="H678" t="s">
        <v>15</v>
      </c>
      <c r="I678" t="s">
        <v>43</v>
      </c>
      <c r="J678" s="2">
        <f>Table1_1[[#This Row],[Sales]]-Table1_1[[#This Row],[Sales]]*Table1_1[[#This Row],[Discount]]</f>
        <v>2237.652</v>
      </c>
      <c r="K678" s="1">
        <v>45565</v>
      </c>
      <c r="L678" s="11">
        <v>45568</v>
      </c>
      <c r="M678">
        <f>DATEDIF(Table1_1[[#This Row],[Order Date]],Table1_1[[#This Row],[Ship Date]],"D")</f>
        <v>3</v>
      </c>
    </row>
    <row r="679" spans="1:13" x14ac:dyDescent="0.35">
      <c r="A679" t="s">
        <v>1063</v>
      </c>
      <c r="B679" t="s">
        <v>455</v>
      </c>
      <c r="C679" t="s">
        <v>77</v>
      </c>
      <c r="D679" s="2">
        <v>1414.73</v>
      </c>
      <c r="E679">
        <v>3</v>
      </c>
      <c r="F679">
        <v>0.1</v>
      </c>
      <c r="G679" t="s">
        <v>14</v>
      </c>
      <c r="H679" t="s">
        <v>15</v>
      </c>
      <c r="I679" t="s">
        <v>20</v>
      </c>
      <c r="J679" s="2">
        <f>Table1_1[[#This Row],[Sales]]-Table1_1[[#This Row],[Sales]]*Table1_1[[#This Row],[Discount]]</f>
        <v>1273.2570000000001</v>
      </c>
      <c r="K679" s="1">
        <v>45145</v>
      </c>
      <c r="L679" s="11">
        <v>45148</v>
      </c>
      <c r="M679">
        <f>DATEDIF(Table1_1[[#This Row],[Order Date]],Table1_1[[#This Row],[Ship Date]],"D")</f>
        <v>3</v>
      </c>
    </row>
    <row r="680" spans="1:13" x14ac:dyDescent="0.35">
      <c r="A680" t="s">
        <v>1064</v>
      </c>
      <c r="B680" t="s">
        <v>122</v>
      </c>
      <c r="C680" t="s">
        <v>231</v>
      </c>
      <c r="D680" s="2">
        <v>2572.6</v>
      </c>
      <c r="E680">
        <v>5</v>
      </c>
      <c r="F680">
        <v>0.3</v>
      </c>
      <c r="G680" t="s">
        <v>39</v>
      </c>
      <c r="H680" t="s">
        <v>15</v>
      </c>
      <c r="I680" t="s">
        <v>43</v>
      </c>
      <c r="J680" s="2">
        <f>Table1_1[[#This Row],[Sales]]-Table1_1[[#This Row],[Sales]]*Table1_1[[#This Row],[Discount]]</f>
        <v>1800.82</v>
      </c>
      <c r="K680" s="1">
        <v>45149</v>
      </c>
      <c r="L680" s="11">
        <v>45153</v>
      </c>
      <c r="M680">
        <f>DATEDIF(Table1_1[[#This Row],[Order Date]],Table1_1[[#This Row],[Ship Date]],"D")</f>
        <v>4</v>
      </c>
    </row>
    <row r="681" spans="1:13" x14ac:dyDescent="0.35">
      <c r="A681" t="s">
        <v>1065</v>
      </c>
      <c r="B681" t="s">
        <v>1066</v>
      </c>
      <c r="C681" t="s">
        <v>1012</v>
      </c>
      <c r="D681" s="2">
        <v>4542.3599999999997</v>
      </c>
      <c r="E681">
        <v>10</v>
      </c>
      <c r="F681">
        <v>0</v>
      </c>
      <c r="G681" t="s">
        <v>19</v>
      </c>
      <c r="H681" t="s">
        <v>15</v>
      </c>
      <c r="I681" t="s">
        <v>20</v>
      </c>
      <c r="J681" s="2">
        <f>Table1_1[[#This Row],[Sales]]-Table1_1[[#This Row],[Sales]]*Table1_1[[#This Row],[Discount]]</f>
        <v>4542.3599999999997</v>
      </c>
      <c r="K681" s="1">
        <v>45781</v>
      </c>
      <c r="L681" s="11">
        <v>45785</v>
      </c>
      <c r="M681">
        <f>DATEDIF(Table1_1[[#This Row],[Order Date]],Table1_1[[#This Row],[Ship Date]],"D")</f>
        <v>4</v>
      </c>
    </row>
    <row r="682" spans="1:13" x14ac:dyDescent="0.35">
      <c r="A682" t="s">
        <v>1067</v>
      </c>
      <c r="B682" t="s">
        <v>363</v>
      </c>
      <c r="C682" t="s">
        <v>624</v>
      </c>
      <c r="D682" s="2">
        <v>1640.21</v>
      </c>
      <c r="E682">
        <v>1</v>
      </c>
      <c r="F682">
        <v>0.1</v>
      </c>
      <c r="G682" t="s">
        <v>39</v>
      </c>
      <c r="H682" t="s">
        <v>15</v>
      </c>
      <c r="I682" t="s">
        <v>43</v>
      </c>
      <c r="J682" s="2">
        <f>Table1_1[[#This Row],[Sales]]-Table1_1[[#This Row],[Sales]]*Table1_1[[#This Row],[Discount]]</f>
        <v>1476.1890000000001</v>
      </c>
      <c r="K682" s="1">
        <v>45622</v>
      </c>
      <c r="L682" s="11">
        <v>45624</v>
      </c>
      <c r="M682">
        <f>DATEDIF(Table1_1[[#This Row],[Order Date]],Table1_1[[#This Row],[Ship Date]],"D")</f>
        <v>2</v>
      </c>
    </row>
    <row r="683" spans="1:13" x14ac:dyDescent="0.35">
      <c r="A683" t="s">
        <v>1068</v>
      </c>
      <c r="B683" t="s">
        <v>1069</v>
      </c>
      <c r="C683" t="s">
        <v>217</v>
      </c>
      <c r="D683" s="2">
        <v>2069.88</v>
      </c>
      <c r="E683">
        <v>5</v>
      </c>
      <c r="F683">
        <v>0.3</v>
      </c>
      <c r="G683" t="s">
        <v>14</v>
      </c>
      <c r="H683" t="s">
        <v>15</v>
      </c>
      <c r="I683" t="s">
        <v>16</v>
      </c>
      <c r="J683" s="2">
        <f>Table1_1[[#This Row],[Sales]]-Table1_1[[#This Row],[Sales]]*Table1_1[[#This Row],[Discount]]</f>
        <v>1448.9160000000002</v>
      </c>
      <c r="K683" s="1">
        <v>45786</v>
      </c>
      <c r="L683" s="11">
        <v>45792</v>
      </c>
      <c r="M683">
        <f>DATEDIF(Table1_1[[#This Row],[Order Date]],Table1_1[[#This Row],[Ship Date]],"D")</f>
        <v>6</v>
      </c>
    </row>
    <row r="684" spans="1:13" x14ac:dyDescent="0.35">
      <c r="A684" t="s">
        <v>1070</v>
      </c>
      <c r="B684" t="s">
        <v>206</v>
      </c>
      <c r="C684" t="s">
        <v>26</v>
      </c>
      <c r="D684" s="2">
        <v>1563</v>
      </c>
      <c r="E684">
        <v>7</v>
      </c>
      <c r="F684">
        <v>0.2</v>
      </c>
      <c r="G684" t="s">
        <v>14</v>
      </c>
      <c r="H684" t="s">
        <v>15</v>
      </c>
      <c r="I684" t="s">
        <v>16</v>
      </c>
      <c r="J684" s="2">
        <f>Table1_1[[#This Row],[Sales]]-Table1_1[[#This Row],[Sales]]*Table1_1[[#This Row],[Discount]]</f>
        <v>1250.4000000000001</v>
      </c>
      <c r="K684" s="1">
        <v>45721</v>
      </c>
      <c r="L684" s="11">
        <v>45727</v>
      </c>
      <c r="M684">
        <f>DATEDIF(Table1_1[[#This Row],[Order Date]],Table1_1[[#This Row],[Ship Date]],"D")</f>
        <v>6</v>
      </c>
    </row>
    <row r="685" spans="1:13" x14ac:dyDescent="0.35">
      <c r="A685" t="s">
        <v>1071</v>
      </c>
      <c r="B685" t="s">
        <v>629</v>
      </c>
      <c r="C685" t="s">
        <v>450</v>
      </c>
      <c r="D685" s="2">
        <v>730.84</v>
      </c>
      <c r="E685">
        <v>5</v>
      </c>
      <c r="F685">
        <v>0.1</v>
      </c>
      <c r="G685" t="s">
        <v>19</v>
      </c>
      <c r="H685" t="s">
        <v>21</v>
      </c>
      <c r="I685" t="s">
        <v>16</v>
      </c>
      <c r="J685" s="2">
        <f>Table1_1[[#This Row],[Sales]]-Table1_1[[#This Row],[Sales]]*Table1_1[[#This Row],[Discount]]</f>
        <v>657.75600000000009</v>
      </c>
      <c r="K685" s="1">
        <v>45310</v>
      </c>
      <c r="L685" s="11">
        <v>45317</v>
      </c>
      <c r="M685">
        <f>DATEDIF(Table1_1[[#This Row],[Order Date]],Table1_1[[#This Row],[Ship Date]],"D")</f>
        <v>7</v>
      </c>
    </row>
    <row r="686" spans="1:13" x14ac:dyDescent="0.35">
      <c r="A686" t="s">
        <v>1072</v>
      </c>
      <c r="B686" t="s">
        <v>1073</v>
      </c>
      <c r="C686" t="s">
        <v>237</v>
      </c>
      <c r="D686" s="2">
        <v>2854.79</v>
      </c>
      <c r="E686">
        <v>9</v>
      </c>
      <c r="F686">
        <v>0.3</v>
      </c>
      <c r="G686" t="s">
        <v>19</v>
      </c>
      <c r="H686" t="s">
        <v>21</v>
      </c>
      <c r="I686" t="s">
        <v>20</v>
      </c>
      <c r="J686" s="2">
        <f>Table1_1[[#This Row],[Sales]]-Table1_1[[#This Row],[Sales]]*Table1_1[[#This Row],[Discount]]</f>
        <v>1998.3530000000001</v>
      </c>
      <c r="K686" s="1">
        <v>45469</v>
      </c>
      <c r="L686" s="11">
        <v>45476</v>
      </c>
      <c r="M686">
        <f>DATEDIF(Table1_1[[#This Row],[Order Date]],Table1_1[[#This Row],[Ship Date]],"D")</f>
        <v>7</v>
      </c>
    </row>
    <row r="687" spans="1:13" x14ac:dyDescent="0.35">
      <c r="A687" t="s">
        <v>1074</v>
      </c>
      <c r="B687" t="s">
        <v>1002</v>
      </c>
      <c r="C687" t="s">
        <v>82</v>
      </c>
      <c r="D687" s="2">
        <v>4900.4399999999996</v>
      </c>
      <c r="E687">
        <v>9</v>
      </c>
      <c r="F687">
        <v>0.3</v>
      </c>
      <c r="G687" t="s">
        <v>39</v>
      </c>
      <c r="H687" t="s">
        <v>15</v>
      </c>
      <c r="I687" t="s">
        <v>20</v>
      </c>
      <c r="J687" s="2">
        <f>Table1_1[[#This Row],[Sales]]-Table1_1[[#This Row],[Sales]]*Table1_1[[#This Row],[Discount]]</f>
        <v>3430.308</v>
      </c>
      <c r="K687" s="1">
        <v>45823</v>
      </c>
      <c r="L687" s="11">
        <v>45828</v>
      </c>
      <c r="M687">
        <f>DATEDIF(Table1_1[[#This Row],[Order Date]],Table1_1[[#This Row],[Ship Date]],"D")</f>
        <v>5</v>
      </c>
    </row>
    <row r="688" spans="1:13" x14ac:dyDescent="0.35">
      <c r="A688" t="s">
        <v>1075</v>
      </c>
      <c r="B688" t="s">
        <v>173</v>
      </c>
      <c r="C688" t="s">
        <v>336</v>
      </c>
      <c r="D688" s="2">
        <v>4563.78</v>
      </c>
      <c r="E688">
        <v>10</v>
      </c>
      <c r="F688">
        <v>0</v>
      </c>
      <c r="G688" t="s">
        <v>19</v>
      </c>
      <c r="H688" t="s">
        <v>15</v>
      </c>
      <c r="I688" t="s">
        <v>16</v>
      </c>
      <c r="J688" s="2">
        <f>Table1_1[[#This Row],[Sales]]-Table1_1[[#This Row],[Sales]]*Table1_1[[#This Row],[Discount]]</f>
        <v>4563.78</v>
      </c>
      <c r="K688" s="1">
        <v>45395</v>
      </c>
      <c r="L688" s="11">
        <v>45398</v>
      </c>
      <c r="M688">
        <f>DATEDIF(Table1_1[[#This Row],[Order Date]],Table1_1[[#This Row],[Ship Date]],"D")</f>
        <v>3</v>
      </c>
    </row>
    <row r="689" spans="1:13" x14ac:dyDescent="0.35">
      <c r="A689" t="s">
        <v>1076</v>
      </c>
      <c r="B689" t="s">
        <v>173</v>
      </c>
      <c r="C689" t="s">
        <v>220</v>
      </c>
      <c r="D689" s="2">
        <v>4222.62</v>
      </c>
      <c r="E689">
        <v>4</v>
      </c>
      <c r="F689">
        <v>0</v>
      </c>
      <c r="G689" t="s">
        <v>14</v>
      </c>
      <c r="H689" t="s">
        <v>15</v>
      </c>
      <c r="I689" t="s">
        <v>43</v>
      </c>
      <c r="J689" s="2">
        <f>Table1_1[[#This Row],[Sales]]-Table1_1[[#This Row],[Sales]]*Table1_1[[#This Row],[Discount]]</f>
        <v>4222.62</v>
      </c>
      <c r="K689" s="1">
        <v>45336</v>
      </c>
      <c r="L689" s="11">
        <v>45339</v>
      </c>
      <c r="M689">
        <f>DATEDIF(Table1_1[[#This Row],[Order Date]],Table1_1[[#This Row],[Ship Date]],"D")</f>
        <v>3</v>
      </c>
    </row>
    <row r="690" spans="1:13" x14ac:dyDescent="0.35">
      <c r="A690" t="s">
        <v>1077</v>
      </c>
      <c r="B690" t="s">
        <v>632</v>
      </c>
      <c r="C690" t="s">
        <v>281</v>
      </c>
      <c r="D690" s="2">
        <v>2939.66</v>
      </c>
      <c r="E690">
        <v>9</v>
      </c>
      <c r="F690">
        <v>0.2</v>
      </c>
      <c r="G690" t="s">
        <v>39</v>
      </c>
      <c r="H690" t="s">
        <v>21</v>
      </c>
      <c r="I690" t="s">
        <v>20</v>
      </c>
      <c r="J690" s="2">
        <f>Table1_1[[#This Row],[Sales]]-Table1_1[[#This Row],[Sales]]*Table1_1[[#This Row],[Discount]]</f>
        <v>2351.7280000000001</v>
      </c>
      <c r="K690" s="1">
        <v>45545</v>
      </c>
      <c r="L690" s="11">
        <v>45546</v>
      </c>
      <c r="M690">
        <f>DATEDIF(Table1_1[[#This Row],[Order Date]],Table1_1[[#This Row],[Ship Date]],"D")</f>
        <v>1</v>
      </c>
    </row>
    <row r="691" spans="1:13" x14ac:dyDescent="0.35">
      <c r="A691" t="s">
        <v>1078</v>
      </c>
      <c r="B691" t="s">
        <v>1004</v>
      </c>
      <c r="C691" t="s">
        <v>565</v>
      </c>
      <c r="D691" s="2">
        <v>2525.7600000000002</v>
      </c>
      <c r="E691">
        <v>1</v>
      </c>
      <c r="F691">
        <v>0.1</v>
      </c>
      <c r="G691" t="s">
        <v>39</v>
      </c>
      <c r="H691" t="s">
        <v>21</v>
      </c>
      <c r="I691" t="s">
        <v>43</v>
      </c>
      <c r="J691" s="2">
        <f>Table1_1[[#This Row],[Sales]]-Table1_1[[#This Row],[Sales]]*Table1_1[[#This Row],[Discount]]</f>
        <v>2273.1840000000002</v>
      </c>
      <c r="K691" s="1">
        <v>44928</v>
      </c>
      <c r="L691" s="11">
        <v>44933</v>
      </c>
      <c r="M691">
        <f>DATEDIF(Table1_1[[#This Row],[Order Date]],Table1_1[[#This Row],[Ship Date]],"D")</f>
        <v>5</v>
      </c>
    </row>
    <row r="692" spans="1:13" x14ac:dyDescent="0.35">
      <c r="A692" t="s">
        <v>1079</v>
      </c>
      <c r="B692" t="s">
        <v>156</v>
      </c>
      <c r="C692" t="s">
        <v>293</v>
      </c>
      <c r="D692" s="2">
        <v>2651.94</v>
      </c>
      <c r="E692">
        <v>9</v>
      </c>
      <c r="F692">
        <v>0.2</v>
      </c>
      <c r="G692" t="s">
        <v>19</v>
      </c>
      <c r="H692" t="s">
        <v>21</v>
      </c>
      <c r="I692" t="s">
        <v>20</v>
      </c>
      <c r="J692" s="2">
        <f>Table1_1[[#This Row],[Sales]]-Table1_1[[#This Row],[Sales]]*Table1_1[[#This Row],[Discount]]</f>
        <v>2121.5520000000001</v>
      </c>
      <c r="K692" s="1">
        <v>45512</v>
      </c>
      <c r="L692" s="11">
        <v>45518</v>
      </c>
      <c r="M692">
        <f>DATEDIF(Table1_1[[#This Row],[Order Date]],Table1_1[[#This Row],[Ship Date]],"D")</f>
        <v>6</v>
      </c>
    </row>
    <row r="693" spans="1:13" x14ac:dyDescent="0.35">
      <c r="A693" t="s">
        <v>1080</v>
      </c>
      <c r="B693" t="s">
        <v>112</v>
      </c>
      <c r="C693" t="s">
        <v>246</v>
      </c>
      <c r="D693" s="2">
        <v>2554.23</v>
      </c>
      <c r="E693">
        <v>7</v>
      </c>
      <c r="F693">
        <v>0.1</v>
      </c>
      <c r="G693" t="s">
        <v>14</v>
      </c>
      <c r="H693" t="s">
        <v>15</v>
      </c>
      <c r="I693" t="s">
        <v>43</v>
      </c>
      <c r="J693" s="2">
        <f>Table1_1[[#This Row],[Sales]]-Table1_1[[#This Row],[Sales]]*Table1_1[[#This Row],[Discount]]</f>
        <v>2298.8069999999998</v>
      </c>
      <c r="K693" s="1">
        <v>45744</v>
      </c>
      <c r="L693" s="11">
        <v>45746</v>
      </c>
      <c r="M693">
        <f>DATEDIF(Table1_1[[#This Row],[Order Date]],Table1_1[[#This Row],[Ship Date]],"D")</f>
        <v>2</v>
      </c>
    </row>
    <row r="694" spans="1:13" x14ac:dyDescent="0.35">
      <c r="A694" t="s">
        <v>1081</v>
      </c>
      <c r="B694" t="s">
        <v>122</v>
      </c>
      <c r="C694" t="s">
        <v>278</v>
      </c>
      <c r="D694" s="2">
        <v>3567.85</v>
      </c>
      <c r="E694">
        <v>3</v>
      </c>
      <c r="F694">
        <v>0</v>
      </c>
      <c r="G694" t="s">
        <v>19</v>
      </c>
      <c r="H694" t="s">
        <v>15</v>
      </c>
      <c r="I694" t="s">
        <v>16</v>
      </c>
      <c r="J694" s="2">
        <f>Table1_1[[#This Row],[Sales]]-Table1_1[[#This Row],[Sales]]*Table1_1[[#This Row],[Discount]]</f>
        <v>3567.85</v>
      </c>
      <c r="K694" s="1">
        <v>45381</v>
      </c>
      <c r="L694" s="11">
        <v>45385</v>
      </c>
      <c r="M694">
        <f>DATEDIF(Table1_1[[#This Row],[Order Date]],Table1_1[[#This Row],[Ship Date]],"D")</f>
        <v>4</v>
      </c>
    </row>
    <row r="695" spans="1:13" x14ac:dyDescent="0.35">
      <c r="A695" t="s">
        <v>1082</v>
      </c>
      <c r="B695" t="s">
        <v>1083</v>
      </c>
      <c r="C695" t="s">
        <v>234</v>
      </c>
      <c r="D695" s="2">
        <v>1840.66</v>
      </c>
      <c r="E695">
        <v>7</v>
      </c>
      <c r="F695">
        <v>0.1</v>
      </c>
      <c r="G695" t="s">
        <v>14</v>
      </c>
      <c r="H695" t="s">
        <v>15</v>
      </c>
      <c r="I695" t="s">
        <v>43</v>
      </c>
      <c r="J695" s="2">
        <f>Table1_1[[#This Row],[Sales]]-Table1_1[[#This Row],[Sales]]*Table1_1[[#This Row],[Discount]]</f>
        <v>1656.5940000000001</v>
      </c>
      <c r="K695" s="1">
        <v>44939</v>
      </c>
      <c r="L695" s="11">
        <v>44940</v>
      </c>
      <c r="M695">
        <f>DATEDIF(Table1_1[[#This Row],[Order Date]],Table1_1[[#This Row],[Ship Date]],"D")</f>
        <v>1</v>
      </c>
    </row>
    <row r="696" spans="1:13" x14ac:dyDescent="0.35">
      <c r="A696" t="s">
        <v>1084</v>
      </c>
      <c r="B696" t="s">
        <v>79</v>
      </c>
      <c r="C696" t="s">
        <v>204</v>
      </c>
      <c r="D696" s="2">
        <v>1390.73</v>
      </c>
      <c r="E696">
        <v>9</v>
      </c>
      <c r="F696">
        <v>0.3</v>
      </c>
      <c r="G696" t="s">
        <v>19</v>
      </c>
      <c r="H696" t="s">
        <v>21</v>
      </c>
      <c r="I696" t="s">
        <v>20</v>
      </c>
      <c r="J696" s="2">
        <f>Table1_1[[#This Row],[Sales]]-Table1_1[[#This Row],[Sales]]*Table1_1[[#This Row],[Discount]]</f>
        <v>973.51099999999997</v>
      </c>
      <c r="K696" s="1">
        <v>45004</v>
      </c>
      <c r="L696" s="11">
        <v>45007</v>
      </c>
      <c r="M696">
        <f>DATEDIF(Table1_1[[#This Row],[Order Date]],Table1_1[[#This Row],[Ship Date]],"D")</f>
        <v>3</v>
      </c>
    </row>
    <row r="697" spans="1:13" x14ac:dyDescent="0.35">
      <c r="A697" t="s">
        <v>1085</v>
      </c>
      <c r="B697" t="s">
        <v>374</v>
      </c>
      <c r="C697" t="s">
        <v>359</v>
      </c>
      <c r="D697" s="2">
        <v>1060.46</v>
      </c>
      <c r="E697">
        <v>1</v>
      </c>
      <c r="F697">
        <v>0.1</v>
      </c>
      <c r="G697" t="s">
        <v>14</v>
      </c>
      <c r="H697" t="s">
        <v>15</v>
      </c>
      <c r="I697" t="s">
        <v>43</v>
      </c>
      <c r="J697" s="2">
        <f>Table1_1[[#This Row],[Sales]]-Table1_1[[#This Row],[Sales]]*Table1_1[[#This Row],[Discount]]</f>
        <v>954.41399999999999</v>
      </c>
      <c r="K697" s="1">
        <v>45000</v>
      </c>
      <c r="L697" s="11">
        <v>45007</v>
      </c>
      <c r="M697">
        <f>DATEDIF(Table1_1[[#This Row],[Order Date]],Table1_1[[#This Row],[Ship Date]],"D")</f>
        <v>7</v>
      </c>
    </row>
    <row r="698" spans="1:13" x14ac:dyDescent="0.35">
      <c r="A698" t="s">
        <v>1086</v>
      </c>
      <c r="B698" t="s">
        <v>165</v>
      </c>
      <c r="C698" t="s">
        <v>148</v>
      </c>
      <c r="D698" s="2">
        <v>2018.63</v>
      </c>
      <c r="E698">
        <v>4</v>
      </c>
      <c r="F698">
        <v>0.2</v>
      </c>
      <c r="G698" t="s">
        <v>39</v>
      </c>
      <c r="H698" t="s">
        <v>15</v>
      </c>
      <c r="I698" t="s">
        <v>16</v>
      </c>
      <c r="J698" s="2">
        <f>Table1_1[[#This Row],[Sales]]-Table1_1[[#This Row],[Sales]]*Table1_1[[#This Row],[Discount]]</f>
        <v>1614.904</v>
      </c>
      <c r="K698" s="1">
        <v>45823</v>
      </c>
      <c r="L698" s="11">
        <v>45828</v>
      </c>
      <c r="M698">
        <f>DATEDIF(Table1_1[[#This Row],[Order Date]],Table1_1[[#This Row],[Ship Date]],"D")</f>
        <v>5</v>
      </c>
    </row>
    <row r="699" spans="1:13" x14ac:dyDescent="0.35">
      <c r="A699" t="s">
        <v>1087</v>
      </c>
      <c r="B699" t="s">
        <v>41</v>
      </c>
      <c r="C699" t="s">
        <v>207</v>
      </c>
      <c r="D699" s="2">
        <v>1555.3</v>
      </c>
      <c r="E699">
        <v>4</v>
      </c>
      <c r="F699">
        <v>0.3</v>
      </c>
      <c r="G699" t="s">
        <v>14</v>
      </c>
      <c r="H699" t="s">
        <v>21</v>
      </c>
      <c r="I699" t="s">
        <v>43</v>
      </c>
      <c r="J699" s="2">
        <f>Table1_1[[#This Row],[Sales]]-Table1_1[[#This Row],[Sales]]*Table1_1[[#This Row],[Discount]]</f>
        <v>1088.71</v>
      </c>
      <c r="K699" s="1">
        <v>45711</v>
      </c>
      <c r="L699" s="11">
        <v>45714</v>
      </c>
      <c r="M699">
        <f>DATEDIF(Table1_1[[#This Row],[Order Date]],Table1_1[[#This Row],[Ship Date]],"D")</f>
        <v>3</v>
      </c>
    </row>
    <row r="700" spans="1:13" x14ac:dyDescent="0.35">
      <c r="A700" t="s">
        <v>1088</v>
      </c>
      <c r="B700" t="s">
        <v>1089</v>
      </c>
      <c r="C700" t="s">
        <v>204</v>
      </c>
      <c r="D700" s="2">
        <v>2478.7399999999998</v>
      </c>
      <c r="E700">
        <v>9</v>
      </c>
      <c r="F700">
        <v>0.3</v>
      </c>
      <c r="G700" t="s">
        <v>19</v>
      </c>
      <c r="H700" t="s">
        <v>21</v>
      </c>
      <c r="I700" t="s">
        <v>16</v>
      </c>
      <c r="J700" s="2">
        <f>Table1_1[[#This Row],[Sales]]-Table1_1[[#This Row],[Sales]]*Table1_1[[#This Row],[Discount]]</f>
        <v>1735.1179999999999</v>
      </c>
      <c r="K700" s="1">
        <v>45299</v>
      </c>
      <c r="L700" s="11">
        <v>45305</v>
      </c>
      <c r="M700">
        <f>DATEDIF(Table1_1[[#This Row],[Order Date]],Table1_1[[#This Row],[Ship Date]],"D")</f>
        <v>6</v>
      </c>
    </row>
    <row r="701" spans="1:13" x14ac:dyDescent="0.35">
      <c r="A701" t="s">
        <v>1090</v>
      </c>
      <c r="B701" t="s">
        <v>691</v>
      </c>
      <c r="C701" t="s">
        <v>94</v>
      </c>
      <c r="D701" s="2">
        <v>2674.65</v>
      </c>
      <c r="E701">
        <v>4</v>
      </c>
      <c r="F701">
        <v>0.3</v>
      </c>
      <c r="G701" t="s">
        <v>19</v>
      </c>
      <c r="H701" t="s">
        <v>15</v>
      </c>
      <c r="I701" t="s">
        <v>20</v>
      </c>
      <c r="J701" s="2">
        <f>Table1_1[[#This Row],[Sales]]-Table1_1[[#This Row],[Sales]]*Table1_1[[#This Row],[Discount]]</f>
        <v>1872.2550000000001</v>
      </c>
      <c r="K701" s="1">
        <v>45726</v>
      </c>
      <c r="L701" s="11">
        <v>45727</v>
      </c>
      <c r="M701">
        <f>DATEDIF(Table1_1[[#This Row],[Order Date]],Table1_1[[#This Row],[Ship Date]],"D")</f>
        <v>1</v>
      </c>
    </row>
    <row r="702" spans="1:13" x14ac:dyDescent="0.35">
      <c r="A702" t="s">
        <v>1091</v>
      </c>
      <c r="B702" t="s">
        <v>852</v>
      </c>
      <c r="C702" t="s">
        <v>448</v>
      </c>
      <c r="D702" s="2">
        <v>4588.41</v>
      </c>
      <c r="E702">
        <v>7</v>
      </c>
      <c r="F702">
        <v>0</v>
      </c>
      <c r="G702" t="s">
        <v>19</v>
      </c>
      <c r="H702" t="s">
        <v>21</v>
      </c>
      <c r="I702" t="s">
        <v>43</v>
      </c>
      <c r="J702" s="2">
        <f>Table1_1[[#This Row],[Sales]]-Table1_1[[#This Row],[Sales]]*Table1_1[[#This Row],[Discount]]</f>
        <v>4588.41</v>
      </c>
      <c r="K702" s="1">
        <v>45693</v>
      </c>
      <c r="L702" s="11">
        <v>45697</v>
      </c>
      <c r="M702">
        <f>DATEDIF(Table1_1[[#This Row],[Order Date]],Table1_1[[#This Row],[Ship Date]],"D")</f>
        <v>4</v>
      </c>
    </row>
    <row r="703" spans="1:13" x14ac:dyDescent="0.35">
      <c r="A703" t="s">
        <v>1092</v>
      </c>
      <c r="B703" t="s">
        <v>347</v>
      </c>
      <c r="C703" t="s">
        <v>217</v>
      </c>
      <c r="D703" s="2">
        <v>3895.55</v>
      </c>
      <c r="E703">
        <v>3</v>
      </c>
      <c r="F703">
        <v>0.1</v>
      </c>
      <c r="G703" t="s">
        <v>14</v>
      </c>
      <c r="H703" t="s">
        <v>15</v>
      </c>
      <c r="I703" t="s">
        <v>43</v>
      </c>
      <c r="J703" s="2">
        <f>Table1_1[[#This Row],[Sales]]-Table1_1[[#This Row],[Sales]]*Table1_1[[#This Row],[Discount]]</f>
        <v>3505.9949999999999</v>
      </c>
      <c r="K703" s="1">
        <v>44999</v>
      </c>
      <c r="L703" s="11">
        <v>45006</v>
      </c>
      <c r="M703">
        <f>DATEDIF(Table1_1[[#This Row],[Order Date]],Table1_1[[#This Row],[Ship Date]],"D")</f>
        <v>7</v>
      </c>
    </row>
    <row r="704" spans="1:13" x14ac:dyDescent="0.35">
      <c r="A704" t="s">
        <v>1093</v>
      </c>
      <c r="B704" t="s">
        <v>942</v>
      </c>
      <c r="C704" t="s">
        <v>77</v>
      </c>
      <c r="D704" s="2">
        <v>4813.8599999999997</v>
      </c>
      <c r="E704">
        <v>3</v>
      </c>
      <c r="F704">
        <v>0</v>
      </c>
      <c r="G704" t="s">
        <v>14</v>
      </c>
      <c r="H704" t="s">
        <v>21</v>
      </c>
      <c r="I704" t="s">
        <v>20</v>
      </c>
      <c r="J704" s="2">
        <f>Table1_1[[#This Row],[Sales]]-Table1_1[[#This Row],[Sales]]*Table1_1[[#This Row],[Discount]]</f>
        <v>4813.8599999999997</v>
      </c>
      <c r="K704" s="1">
        <v>45532</v>
      </c>
      <c r="L704" s="11">
        <v>45535</v>
      </c>
      <c r="M704">
        <f>DATEDIF(Table1_1[[#This Row],[Order Date]],Table1_1[[#This Row],[Ship Date]],"D")</f>
        <v>3</v>
      </c>
    </row>
    <row r="705" spans="1:13" x14ac:dyDescent="0.35">
      <c r="A705" t="s">
        <v>1094</v>
      </c>
      <c r="B705" t="s">
        <v>1066</v>
      </c>
      <c r="C705" t="s">
        <v>65</v>
      </c>
      <c r="D705" s="2">
        <v>3550.17</v>
      </c>
      <c r="E705">
        <v>3</v>
      </c>
      <c r="F705">
        <v>0.3</v>
      </c>
      <c r="G705" t="s">
        <v>19</v>
      </c>
      <c r="H705" t="s">
        <v>21</v>
      </c>
      <c r="I705" t="s">
        <v>20</v>
      </c>
      <c r="J705" s="2">
        <f>Table1_1[[#This Row],[Sales]]-Table1_1[[#This Row],[Sales]]*Table1_1[[#This Row],[Discount]]</f>
        <v>2485.1190000000001</v>
      </c>
      <c r="K705" s="1">
        <v>45809</v>
      </c>
      <c r="L705" s="11">
        <v>45812</v>
      </c>
      <c r="M705">
        <f>DATEDIF(Table1_1[[#This Row],[Order Date]],Table1_1[[#This Row],[Ship Date]],"D")</f>
        <v>3</v>
      </c>
    </row>
    <row r="706" spans="1:13" x14ac:dyDescent="0.35">
      <c r="A706" t="s">
        <v>1095</v>
      </c>
      <c r="B706" t="s">
        <v>284</v>
      </c>
      <c r="C706" t="s">
        <v>341</v>
      </c>
      <c r="D706" s="2">
        <v>3343.62</v>
      </c>
      <c r="E706">
        <v>2</v>
      </c>
      <c r="F706">
        <v>0</v>
      </c>
      <c r="G706" t="s">
        <v>14</v>
      </c>
      <c r="H706" t="s">
        <v>15</v>
      </c>
      <c r="I706" t="s">
        <v>43</v>
      </c>
      <c r="J706" s="2">
        <f>Table1_1[[#This Row],[Sales]]-Table1_1[[#This Row],[Sales]]*Table1_1[[#This Row],[Discount]]</f>
        <v>3343.62</v>
      </c>
      <c r="K706" s="1">
        <v>45683</v>
      </c>
      <c r="L706" s="11">
        <v>45684</v>
      </c>
      <c r="M706">
        <f>DATEDIF(Table1_1[[#This Row],[Order Date]],Table1_1[[#This Row],[Ship Date]],"D")</f>
        <v>1</v>
      </c>
    </row>
    <row r="707" spans="1:13" x14ac:dyDescent="0.35">
      <c r="A707" t="s">
        <v>1096</v>
      </c>
      <c r="B707" t="s">
        <v>1057</v>
      </c>
      <c r="C707" t="s">
        <v>185</v>
      </c>
      <c r="D707" s="2">
        <v>2920.15</v>
      </c>
      <c r="E707">
        <v>6</v>
      </c>
      <c r="F707">
        <v>0.2</v>
      </c>
      <c r="G707" t="s">
        <v>39</v>
      </c>
      <c r="H707" t="s">
        <v>21</v>
      </c>
      <c r="I707" t="s">
        <v>43</v>
      </c>
      <c r="J707" s="2">
        <f>Table1_1[[#This Row],[Sales]]-Table1_1[[#This Row],[Sales]]*Table1_1[[#This Row],[Discount]]</f>
        <v>2336.12</v>
      </c>
      <c r="K707" s="1">
        <v>45084</v>
      </c>
      <c r="L707" s="11">
        <v>45088</v>
      </c>
      <c r="M707">
        <f>DATEDIF(Table1_1[[#This Row],[Order Date]],Table1_1[[#This Row],[Ship Date]],"D")</f>
        <v>4</v>
      </c>
    </row>
    <row r="708" spans="1:13" x14ac:dyDescent="0.35">
      <c r="A708" t="s">
        <v>1097</v>
      </c>
      <c r="B708" t="s">
        <v>738</v>
      </c>
      <c r="C708" t="s">
        <v>354</v>
      </c>
      <c r="D708" s="2">
        <v>415.81</v>
      </c>
      <c r="E708">
        <v>5</v>
      </c>
      <c r="F708">
        <v>0.3</v>
      </c>
      <c r="G708" t="s">
        <v>39</v>
      </c>
      <c r="H708" t="s">
        <v>21</v>
      </c>
      <c r="I708" t="s">
        <v>43</v>
      </c>
      <c r="J708" s="2">
        <f>Table1_1[[#This Row],[Sales]]-Table1_1[[#This Row],[Sales]]*Table1_1[[#This Row],[Discount]]</f>
        <v>291.06700000000001</v>
      </c>
      <c r="K708" s="1">
        <v>45165</v>
      </c>
      <c r="L708" s="11">
        <v>45171</v>
      </c>
      <c r="M708">
        <f>DATEDIF(Table1_1[[#This Row],[Order Date]],Table1_1[[#This Row],[Ship Date]],"D")</f>
        <v>6</v>
      </c>
    </row>
    <row r="709" spans="1:13" x14ac:dyDescent="0.35">
      <c r="A709" t="s">
        <v>1098</v>
      </c>
      <c r="B709" t="s">
        <v>721</v>
      </c>
      <c r="C709" t="s">
        <v>696</v>
      </c>
      <c r="D709" s="2">
        <v>2980.46</v>
      </c>
      <c r="E709">
        <v>9</v>
      </c>
      <c r="F709">
        <v>0.3</v>
      </c>
      <c r="G709" t="s">
        <v>39</v>
      </c>
      <c r="H709" t="s">
        <v>21</v>
      </c>
      <c r="I709" t="s">
        <v>43</v>
      </c>
      <c r="J709" s="2">
        <f>Table1_1[[#This Row],[Sales]]-Table1_1[[#This Row],[Sales]]*Table1_1[[#This Row],[Discount]]</f>
        <v>2086.3220000000001</v>
      </c>
      <c r="K709" s="1">
        <v>45144</v>
      </c>
      <c r="L709" s="11">
        <v>45150</v>
      </c>
      <c r="M709">
        <f>DATEDIF(Table1_1[[#This Row],[Order Date]],Table1_1[[#This Row],[Ship Date]],"D")</f>
        <v>6</v>
      </c>
    </row>
    <row r="710" spans="1:13" x14ac:dyDescent="0.35">
      <c r="A710" t="s">
        <v>1099</v>
      </c>
      <c r="B710" t="s">
        <v>480</v>
      </c>
      <c r="C710" t="s">
        <v>152</v>
      </c>
      <c r="D710" s="2">
        <v>476.8</v>
      </c>
      <c r="E710">
        <v>9</v>
      </c>
      <c r="F710">
        <v>0.1</v>
      </c>
      <c r="G710" t="s">
        <v>14</v>
      </c>
      <c r="H710" t="s">
        <v>15</v>
      </c>
      <c r="I710" t="s">
        <v>43</v>
      </c>
      <c r="J710" s="2">
        <f>Table1_1[[#This Row],[Sales]]-Table1_1[[#This Row],[Sales]]*Table1_1[[#This Row],[Discount]]</f>
        <v>429.12</v>
      </c>
      <c r="K710" s="1">
        <v>45690</v>
      </c>
      <c r="L710" s="11">
        <v>45693</v>
      </c>
      <c r="M710">
        <f>DATEDIF(Table1_1[[#This Row],[Order Date]],Table1_1[[#This Row],[Ship Date]],"D")</f>
        <v>3</v>
      </c>
    </row>
    <row r="711" spans="1:13" x14ac:dyDescent="0.35">
      <c r="A711" t="s">
        <v>1100</v>
      </c>
      <c r="B711" t="s">
        <v>971</v>
      </c>
      <c r="C711" t="s">
        <v>166</v>
      </c>
      <c r="D711" s="2">
        <v>3674.7</v>
      </c>
      <c r="E711">
        <v>1</v>
      </c>
      <c r="F711">
        <v>0.2</v>
      </c>
      <c r="G711" t="s">
        <v>14</v>
      </c>
      <c r="H711" t="s">
        <v>21</v>
      </c>
      <c r="I711" t="s">
        <v>20</v>
      </c>
      <c r="J711" s="2">
        <f>Table1_1[[#This Row],[Sales]]-Table1_1[[#This Row],[Sales]]*Table1_1[[#This Row],[Discount]]</f>
        <v>2939.7599999999998</v>
      </c>
      <c r="K711" s="1">
        <v>45449</v>
      </c>
      <c r="L711" s="11">
        <v>45450</v>
      </c>
      <c r="M711">
        <f>DATEDIF(Table1_1[[#This Row],[Order Date]],Table1_1[[#This Row],[Ship Date]],"D")</f>
        <v>1</v>
      </c>
    </row>
    <row r="712" spans="1:13" x14ac:dyDescent="0.35">
      <c r="A712" t="s">
        <v>1101</v>
      </c>
      <c r="B712" t="s">
        <v>424</v>
      </c>
      <c r="C712" t="s">
        <v>223</v>
      </c>
      <c r="D712" s="2">
        <v>1409.55</v>
      </c>
      <c r="E712">
        <v>8</v>
      </c>
      <c r="F712">
        <v>0.2</v>
      </c>
      <c r="G712" t="s">
        <v>14</v>
      </c>
      <c r="H712" t="s">
        <v>21</v>
      </c>
      <c r="I712" t="s">
        <v>16</v>
      </c>
      <c r="J712" s="2">
        <f>Table1_1[[#This Row],[Sales]]-Table1_1[[#This Row],[Sales]]*Table1_1[[#This Row],[Discount]]</f>
        <v>1127.6399999999999</v>
      </c>
      <c r="K712" s="1">
        <v>45669</v>
      </c>
      <c r="L712" s="11">
        <v>45673</v>
      </c>
      <c r="M712">
        <f>DATEDIF(Table1_1[[#This Row],[Order Date]],Table1_1[[#This Row],[Ship Date]],"D")</f>
        <v>4</v>
      </c>
    </row>
    <row r="713" spans="1:13" x14ac:dyDescent="0.35">
      <c r="A713" t="s">
        <v>1102</v>
      </c>
      <c r="B713" t="s">
        <v>203</v>
      </c>
      <c r="C713" t="s">
        <v>240</v>
      </c>
      <c r="D713" s="2">
        <v>4942.8500000000004</v>
      </c>
      <c r="E713">
        <v>8</v>
      </c>
      <c r="F713">
        <v>0.2</v>
      </c>
      <c r="G713" t="s">
        <v>14</v>
      </c>
      <c r="H713" t="s">
        <v>21</v>
      </c>
      <c r="I713" t="s">
        <v>43</v>
      </c>
      <c r="J713" s="2">
        <f>Table1_1[[#This Row],[Sales]]-Table1_1[[#This Row],[Sales]]*Table1_1[[#This Row],[Discount]]</f>
        <v>3954.28</v>
      </c>
      <c r="K713" s="1">
        <v>45632</v>
      </c>
      <c r="L713" s="11">
        <v>45637</v>
      </c>
      <c r="M713">
        <f>DATEDIF(Table1_1[[#This Row],[Order Date]],Table1_1[[#This Row],[Ship Date]],"D")</f>
        <v>5</v>
      </c>
    </row>
    <row r="714" spans="1:13" x14ac:dyDescent="0.35">
      <c r="A714" t="s">
        <v>1103</v>
      </c>
      <c r="B714" t="s">
        <v>122</v>
      </c>
      <c r="C714" t="s">
        <v>234</v>
      </c>
      <c r="D714" s="2">
        <v>4325.2299999999996</v>
      </c>
      <c r="E714">
        <v>10</v>
      </c>
      <c r="F714">
        <v>0.1</v>
      </c>
      <c r="G714" t="s">
        <v>14</v>
      </c>
      <c r="H714" t="s">
        <v>15</v>
      </c>
      <c r="I714" t="s">
        <v>20</v>
      </c>
      <c r="J714" s="2">
        <f>Table1_1[[#This Row],[Sales]]-Table1_1[[#This Row],[Sales]]*Table1_1[[#This Row],[Discount]]</f>
        <v>3892.7069999999994</v>
      </c>
      <c r="K714" s="1">
        <v>45595</v>
      </c>
      <c r="L714" s="11">
        <v>45601</v>
      </c>
      <c r="M714">
        <f>DATEDIF(Table1_1[[#This Row],[Order Date]],Table1_1[[#This Row],[Ship Date]],"D")</f>
        <v>6</v>
      </c>
    </row>
    <row r="715" spans="1:13" x14ac:dyDescent="0.35">
      <c r="A715" t="s">
        <v>1104</v>
      </c>
      <c r="B715" t="s">
        <v>67</v>
      </c>
      <c r="C715" t="s">
        <v>234</v>
      </c>
      <c r="D715" s="2">
        <v>865.86</v>
      </c>
      <c r="E715">
        <v>6</v>
      </c>
      <c r="F715">
        <v>0</v>
      </c>
      <c r="G715" t="s">
        <v>39</v>
      </c>
      <c r="H715" t="s">
        <v>21</v>
      </c>
      <c r="I715" t="s">
        <v>16</v>
      </c>
      <c r="J715" s="2">
        <f>Table1_1[[#This Row],[Sales]]-Table1_1[[#This Row],[Sales]]*Table1_1[[#This Row],[Discount]]</f>
        <v>865.86</v>
      </c>
      <c r="K715" s="1">
        <v>45200</v>
      </c>
      <c r="L715" s="11">
        <v>45207</v>
      </c>
      <c r="M715">
        <f>DATEDIF(Table1_1[[#This Row],[Order Date]],Table1_1[[#This Row],[Ship Date]],"D")</f>
        <v>7</v>
      </c>
    </row>
    <row r="716" spans="1:13" x14ac:dyDescent="0.35">
      <c r="A716" t="s">
        <v>1105</v>
      </c>
      <c r="B716" t="s">
        <v>548</v>
      </c>
      <c r="C716" t="s">
        <v>911</v>
      </c>
      <c r="D716" s="2">
        <v>3676.31</v>
      </c>
      <c r="E716">
        <v>2</v>
      </c>
      <c r="F716">
        <v>0</v>
      </c>
      <c r="G716" t="s">
        <v>14</v>
      </c>
      <c r="H716" t="s">
        <v>15</v>
      </c>
      <c r="I716" t="s">
        <v>43</v>
      </c>
      <c r="J716" s="2">
        <f>Table1_1[[#This Row],[Sales]]-Table1_1[[#This Row],[Sales]]*Table1_1[[#This Row],[Discount]]</f>
        <v>3676.31</v>
      </c>
      <c r="K716" s="1">
        <v>45419</v>
      </c>
      <c r="L716" s="11">
        <v>45422</v>
      </c>
      <c r="M716">
        <f>DATEDIF(Table1_1[[#This Row],[Order Date]],Table1_1[[#This Row],[Ship Date]],"D")</f>
        <v>3</v>
      </c>
    </row>
    <row r="717" spans="1:13" x14ac:dyDescent="0.35">
      <c r="A717" t="s">
        <v>1106</v>
      </c>
      <c r="B717" t="s">
        <v>474</v>
      </c>
      <c r="C717" t="s">
        <v>94</v>
      </c>
      <c r="D717" s="2">
        <v>2941.05</v>
      </c>
      <c r="E717">
        <v>6</v>
      </c>
      <c r="F717">
        <v>0.1</v>
      </c>
      <c r="G717" t="s">
        <v>19</v>
      </c>
      <c r="H717" t="s">
        <v>15</v>
      </c>
      <c r="I717" t="s">
        <v>16</v>
      </c>
      <c r="J717" s="2">
        <f>Table1_1[[#This Row],[Sales]]-Table1_1[[#This Row],[Sales]]*Table1_1[[#This Row],[Discount]]</f>
        <v>2646.9450000000002</v>
      </c>
      <c r="K717" s="1">
        <v>44969</v>
      </c>
      <c r="L717" s="11">
        <v>44971</v>
      </c>
      <c r="M717">
        <f>DATEDIF(Table1_1[[#This Row],[Order Date]],Table1_1[[#This Row],[Ship Date]],"D")</f>
        <v>2</v>
      </c>
    </row>
    <row r="718" spans="1:13" x14ac:dyDescent="0.35">
      <c r="A718" t="s">
        <v>1107</v>
      </c>
      <c r="B718" t="s">
        <v>670</v>
      </c>
      <c r="C718" t="s">
        <v>204</v>
      </c>
      <c r="D718" s="2">
        <v>885.19</v>
      </c>
      <c r="E718">
        <v>10</v>
      </c>
      <c r="F718">
        <v>0.3</v>
      </c>
      <c r="G718" t="s">
        <v>19</v>
      </c>
      <c r="H718" t="s">
        <v>15</v>
      </c>
      <c r="I718" t="s">
        <v>16</v>
      </c>
      <c r="J718" s="2">
        <f>Table1_1[[#This Row],[Sales]]-Table1_1[[#This Row],[Sales]]*Table1_1[[#This Row],[Discount]]</f>
        <v>619.63300000000004</v>
      </c>
      <c r="K718" s="1">
        <v>45569</v>
      </c>
      <c r="L718" s="11">
        <v>45571</v>
      </c>
      <c r="M718">
        <f>DATEDIF(Table1_1[[#This Row],[Order Date]],Table1_1[[#This Row],[Ship Date]],"D")</f>
        <v>2</v>
      </c>
    </row>
    <row r="719" spans="1:13" x14ac:dyDescent="0.35">
      <c r="A719" t="s">
        <v>1108</v>
      </c>
      <c r="B719" t="s">
        <v>154</v>
      </c>
      <c r="C719" t="s">
        <v>726</v>
      </c>
      <c r="D719" s="2">
        <v>1378.95</v>
      </c>
      <c r="E719">
        <v>2</v>
      </c>
      <c r="F719">
        <v>0.1</v>
      </c>
      <c r="G719" t="s">
        <v>39</v>
      </c>
      <c r="H719" t="s">
        <v>21</v>
      </c>
      <c r="I719" t="s">
        <v>20</v>
      </c>
      <c r="J719" s="2">
        <f>Table1_1[[#This Row],[Sales]]-Table1_1[[#This Row],[Sales]]*Table1_1[[#This Row],[Discount]]</f>
        <v>1241.0550000000001</v>
      </c>
      <c r="K719" s="1">
        <v>45118</v>
      </c>
      <c r="L719" s="11">
        <v>45124</v>
      </c>
      <c r="M719">
        <f>DATEDIF(Table1_1[[#This Row],[Order Date]],Table1_1[[#This Row],[Ship Date]],"D")</f>
        <v>6</v>
      </c>
    </row>
    <row r="720" spans="1:13" x14ac:dyDescent="0.35">
      <c r="A720" t="s">
        <v>1109</v>
      </c>
      <c r="B720" t="s">
        <v>177</v>
      </c>
      <c r="C720" t="s">
        <v>820</v>
      </c>
      <c r="D720" s="2">
        <v>1788.92</v>
      </c>
      <c r="E720">
        <v>9</v>
      </c>
      <c r="F720">
        <v>0.2</v>
      </c>
      <c r="G720" t="s">
        <v>39</v>
      </c>
      <c r="H720" t="s">
        <v>15</v>
      </c>
      <c r="I720" t="s">
        <v>16</v>
      </c>
      <c r="J720" s="2">
        <f>Table1_1[[#This Row],[Sales]]-Table1_1[[#This Row],[Sales]]*Table1_1[[#This Row],[Discount]]</f>
        <v>1431.136</v>
      </c>
      <c r="K720" s="1">
        <v>45370</v>
      </c>
      <c r="L720" s="11">
        <v>45373</v>
      </c>
      <c r="M720">
        <f>DATEDIF(Table1_1[[#This Row],[Order Date]],Table1_1[[#This Row],[Ship Date]],"D")</f>
        <v>3</v>
      </c>
    </row>
    <row r="721" spans="1:13" x14ac:dyDescent="0.35">
      <c r="A721" t="s">
        <v>1110</v>
      </c>
      <c r="B721" t="s">
        <v>59</v>
      </c>
      <c r="C721" t="s">
        <v>26</v>
      </c>
      <c r="D721" s="2">
        <v>704.99</v>
      </c>
      <c r="E721">
        <v>2</v>
      </c>
      <c r="F721">
        <v>0.1</v>
      </c>
      <c r="G721" t="s">
        <v>14</v>
      </c>
      <c r="H721" t="s">
        <v>21</v>
      </c>
      <c r="I721" t="s">
        <v>20</v>
      </c>
      <c r="J721" s="2">
        <f>Table1_1[[#This Row],[Sales]]-Table1_1[[#This Row],[Sales]]*Table1_1[[#This Row],[Discount]]</f>
        <v>634.49099999999999</v>
      </c>
      <c r="K721" s="1">
        <v>45778</v>
      </c>
      <c r="L721" s="11">
        <v>45779</v>
      </c>
      <c r="M721">
        <f>DATEDIF(Table1_1[[#This Row],[Order Date]],Table1_1[[#This Row],[Ship Date]],"D")</f>
        <v>1</v>
      </c>
    </row>
    <row r="722" spans="1:13" x14ac:dyDescent="0.35">
      <c r="A722" t="s">
        <v>1111</v>
      </c>
      <c r="B722" t="s">
        <v>1112</v>
      </c>
      <c r="C722" t="s">
        <v>223</v>
      </c>
      <c r="D722" s="2">
        <v>4751.3100000000004</v>
      </c>
      <c r="E722">
        <v>7</v>
      </c>
      <c r="F722">
        <v>0</v>
      </c>
      <c r="G722" t="s">
        <v>14</v>
      </c>
      <c r="H722" t="s">
        <v>21</v>
      </c>
      <c r="I722" t="s">
        <v>43</v>
      </c>
      <c r="J722" s="2">
        <f>Table1_1[[#This Row],[Sales]]-Table1_1[[#This Row],[Sales]]*Table1_1[[#This Row],[Discount]]</f>
        <v>4751.3100000000004</v>
      </c>
      <c r="K722" s="1">
        <v>45659</v>
      </c>
      <c r="L722" s="11">
        <v>45660</v>
      </c>
      <c r="M722">
        <f>DATEDIF(Table1_1[[#This Row],[Order Date]],Table1_1[[#This Row],[Ship Date]],"D")</f>
        <v>1</v>
      </c>
    </row>
    <row r="723" spans="1:13" x14ac:dyDescent="0.35">
      <c r="A723" t="s">
        <v>1113</v>
      </c>
      <c r="B723" t="s">
        <v>588</v>
      </c>
      <c r="C723" t="s">
        <v>696</v>
      </c>
      <c r="D723" s="2">
        <v>3262.99</v>
      </c>
      <c r="E723">
        <v>2</v>
      </c>
      <c r="F723">
        <v>0.1</v>
      </c>
      <c r="G723" t="s">
        <v>14</v>
      </c>
      <c r="H723" t="s">
        <v>15</v>
      </c>
      <c r="I723" t="s">
        <v>43</v>
      </c>
      <c r="J723" s="2">
        <f>Table1_1[[#This Row],[Sales]]-Table1_1[[#This Row],[Sales]]*Table1_1[[#This Row],[Discount]]</f>
        <v>2936.6909999999998</v>
      </c>
      <c r="K723" s="1">
        <v>45311</v>
      </c>
      <c r="L723" s="11">
        <v>45313</v>
      </c>
      <c r="M723">
        <f>DATEDIF(Table1_1[[#This Row],[Order Date]],Table1_1[[#This Row],[Ship Date]],"D")</f>
        <v>2</v>
      </c>
    </row>
    <row r="724" spans="1:13" x14ac:dyDescent="0.35">
      <c r="A724" t="s">
        <v>1114</v>
      </c>
      <c r="B724" t="s">
        <v>1115</v>
      </c>
      <c r="C724" t="s">
        <v>285</v>
      </c>
      <c r="D724" s="2">
        <v>534</v>
      </c>
      <c r="E724">
        <v>8</v>
      </c>
      <c r="F724">
        <v>0.1</v>
      </c>
      <c r="G724" t="s">
        <v>19</v>
      </c>
      <c r="H724" t="s">
        <v>21</v>
      </c>
      <c r="I724" t="s">
        <v>43</v>
      </c>
      <c r="J724" s="2">
        <f>Table1_1[[#This Row],[Sales]]-Table1_1[[#This Row],[Sales]]*Table1_1[[#This Row],[Discount]]</f>
        <v>480.6</v>
      </c>
      <c r="K724" s="1">
        <v>45328</v>
      </c>
      <c r="L724" s="11">
        <v>45330</v>
      </c>
      <c r="M724">
        <f>DATEDIF(Table1_1[[#This Row],[Order Date]],Table1_1[[#This Row],[Ship Date]],"D")</f>
        <v>2</v>
      </c>
    </row>
    <row r="725" spans="1:13" x14ac:dyDescent="0.35">
      <c r="A725" t="s">
        <v>1116</v>
      </c>
      <c r="B725" t="s">
        <v>474</v>
      </c>
      <c r="C725" t="s">
        <v>231</v>
      </c>
      <c r="D725" s="2">
        <v>4412.33</v>
      </c>
      <c r="E725">
        <v>1</v>
      </c>
      <c r="F725">
        <v>0.1</v>
      </c>
      <c r="G725" t="s">
        <v>14</v>
      </c>
      <c r="H725" t="s">
        <v>15</v>
      </c>
      <c r="I725" t="s">
        <v>16</v>
      </c>
      <c r="J725" s="2">
        <f>Table1_1[[#This Row],[Sales]]-Table1_1[[#This Row],[Sales]]*Table1_1[[#This Row],[Discount]]</f>
        <v>3971.0969999999998</v>
      </c>
      <c r="K725" s="1">
        <v>45467</v>
      </c>
      <c r="L725" s="11">
        <v>45469</v>
      </c>
      <c r="M725">
        <f>DATEDIF(Table1_1[[#This Row],[Order Date]],Table1_1[[#This Row],[Ship Date]],"D")</f>
        <v>2</v>
      </c>
    </row>
    <row r="726" spans="1:13" x14ac:dyDescent="0.35">
      <c r="A726" t="s">
        <v>1117</v>
      </c>
      <c r="B726" t="s">
        <v>295</v>
      </c>
      <c r="C726" t="s">
        <v>911</v>
      </c>
      <c r="D726" s="2">
        <v>3342.76</v>
      </c>
      <c r="E726">
        <v>3</v>
      </c>
      <c r="F726">
        <v>0.2</v>
      </c>
      <c r="G726" t="s">
        <v>14</v>
      </c>
      <c r="H726" t="s">
        <v>15</v>
      </c>
      <c r="I726" t="s">
        <v>16</v>
      </c>
      <c r="J726" s="2">
        <f>Table1_1[[#This Row],[Sales]]-Table1_1[[#This Row],[Sales]]*Table1_1[[#This Row],[Discount]]</f>
        <v>2674.2080000000001</v>
      </c>
      <c r="K726" s="1">
        <v>44992</v>
      </c>
      <c r="L726" s="11">
        <v>44995</v>
      </c>
      <c r="M726">
        <f>DATEDIF(Table1_1[[#This Row],[Order Date]],Table1_1[[#This Row],[Ship Date]],"D")</f>
        <v>3</v>
      </c>
    </row>
    <row r="727" spans="1:13" x14ac:dyDescent="0.35">
      <c r="A727" t="s">
        <v>1118</v>
      </c>
      <c r="B727" t="s">
        <v>550</v>
      </c>
      <c r="C727" t="s">
        <v>376</v>
      </c>
      <c r="D727" s="2">
        <v>823.55</v>
      </c>
      <c r="E727">
        <v>7</v>
      </c>
      <c r="F727">
        <v>0.1</v>
      </c>
      <c r="G727" t="s">
        <v>14</v>
      </c>
      <c r="H727" t="s">
        <v>15</v>
      </c>
      <c r="I727" t="s">
        <v>16</v>
      </c>
      <c r="J727" s="2">
        <f>Table1_1[[#This Row],[Sales]]-Table1_1[[#This Row],[Sales]]*Table1_1[[#This Row],[Discount]]</f>
        <v>741.19499999999994</v>
      </c>
      <c r="K727" s="1">
        <v>45717</v>
      </c>
      <c r="L727" s="11">
        <v>45722</v>
      </c>
      <c r="M727">
        <f>DATEDIF(Table1_1[[#This Row],[Order Date]],Table1_1[[#This Row],[Ship Date]],"D")</f>
        <v>5</v>
      </c>
    </row>
    <row r="728" spans="1:13" x14ac:dyDescent="0.35">
      <c r="A728" t="s">
        <v>1119</v>
      </c>
      <c r="B728" t="s">
        <v>162</v>
      </c>
      <c r="C728" t="s">
        <v>185</v>
      </c>
      <c r="D728" s="2">
        <v>3691.53</v>
      </c>
      <c r="E728">
        <v>1</v>
      </c>
      <c r="F728">
        <v>0.1</v>
      </c>
      <c r="G728" t="s">
        <v>14</v>
      </c>
      <c r="H728" t="s">
        <v>15</v>
      </c>
      <c r="I728" t="s">
        <v>16</v>
      </c>
      <c r="J728" s="2">
        <f>Table1_1[[#This Row],[Sales]]-Table1_1[[#This Row],[Sales]]*Table1_1[[#This Row],[Discount]]</f>
        <v>3322.3770000000004</v>
      </c>
      <c r="K728" s="1">
        <v>45795</v>
      </c>
      <c r="L728" s="11">
        <v>45798</v>
      </c>
      <c r="M728">
        <f>DATEDIF(Table1_1[[#This Row],[Order Date]],Table1_1[[#This Row],[Ship Date]],"D")</f>
        <v>3</v>
      </c>
    </row>
    <row r="729" spans="1:13" x14ac:dyDescent="0.35">
      <c r="A729" t="s">
        <v>1120</v>
      </c>
      <c r="B729" t="s">
        <v>130</v>
      </c>
      <c r="C729" t="s">
        <v>102</v>
      </c>
      <c r="D729" s="2">
        <v>4879.24</v>
      </c>
      <c r="E729">
        <v>4</v>
      </c>
      <c r="F729">
        <v>0</v>
      </c>
      <c r="G729" t="s">
        <v>39</v>
      </c>
      <c r="H729" t="s">
        <v>15</v>
      </c>
      <c r="I729" t="s">
        <v>43</v>
      </c>
      <c r="J729" s="2">
        <f>Table1_1[[#This Row],[Sales]]-Table1_1[[#This Row],[Sales]]*Table1_1[[#This Row],[Discount]]</f>
        <v>4879.24</v>
      </c>
      <c r="K729" s="1">
        <v>45162</v>
      </c>
      <c r="L729" s="11">
        <v>45169</v>
      </c>
      <c r="M729">
        <f>DATEDIF(Table1_1[[#This Row],[Order Date]],Table1_1[[#This Row],[Ship Date]],"D")</f>
        <v>7</v>
      </c>
    </row>
    <row r="730" spans="1:13" x14ac:dyDescent="0.35">
      <c r="A730" t="s">
        <v>1121</v>
      </c>
      <c r="B730" t="s">
        <v>1122</v>
      </c>
      <c r="C730" t="s">
        <v>254</v>
      </c>
      <c r="D730" s="2">
        <v>4879.92</v>
      </c>
      <c r="E730">
        <v>4</v>
      </c>
      <c r="F730">
        <v>0</v>
      </c>
      <c r="G730" t="s">
        <v>39</v>
      </c>
      <c r="H730" t="s">
        <v>21</v>
      </c>
      <c r="I730" t="s">
        <v>16</v>
      </c>
      <c r="J730" s="2">
        <f>Table1_1[[#This Row],[Sales]]-Table1_1[[#This Row],[Sales]]*Table1_1[[#This Row],[Discount]]</f>
        <v>4879.92</v>
      </c>
      <c r="K730" s="1">
        <v>45132</v>
      </c>
      <c r="L730" s="11">
        <v>45139</v>
      </c>
      <c r="M730">
        <f>DATEDIF(Table1_1[[#This Row],[Order Date]],Table1_1[[#This Row],[Ship Date]],"D")</f>
        <v>7</v>
      </c>
    </row>
    <row r="731" spans="1:13" x14ac:dyDescent="0.35">
      <c r="A731" t="s">
        <v>1123</v>
      </c>
      <c r="B731" t="s">
        <v>52</v>
      </c>
      <c r="C731" t="s">
        <v>73</v>
      </c>
      <c r="D731" s="2">
        <v>3567.34</v>
      </c>
      <c r="E731">
        <v>1</v>
      </c>
      <c r="F731">
        <v>0</v>
      </c>
      <c r="G731" t="s">
        <v>19</v>
      </c>
      <c r="H731" t="s">
        <v>21</v>
      </c>
      <c r="I731" t="s">
        <v>20</v>
      </c>
      <c r="J731" s="2">
        <f>Table1_1[[#This Row],[Sales]]-Table1_1[[#This Row],[Sales]]*Table1_1[[#This Row],[Discount]]</f>
        <v>3567.34</v>
      </c>
      <c r="K731" s="1">
        <v>45805</v>
      </c>
      <c r="L731" s="11">
        <v>45812</v>
      </c>
      <c r="M731">
        <f>DATEDIF(Table1_1[[#This Row],[Order Date]],Table1_1[[#This Row],[Ship Date]],"D")</f>
        <v>7</v>
      </c>
    </row>
    <row r="732" spans="1:13" x14ac:dyDescent="0.35">
      <c r="A732" t="s">
        <v>1124</v>
      </c>
      <c r="B732" t="s">
        <v>1073</v>
      </c>
      <c r="C732" t="s">
        <v>273</v>
      </c>
      <c r="D732" s="2">
        <v>432</v>
      </c>
      <c r="E732">
        <v>7</v>
      </c>
      <c r="F732">
        <v>0.1</v>
      </c>
      <c r="G732" t="s">
        <v>19</v>
      </c>
      <c r="H732" t="s">
        <v>15</v>
      </c>
      <c r="I732" t="s">
        <v>16</v>
      </c>
      <c r="J732" s="2">
        <f>Table1_1[[#This Row],[Sales]]-Table1_1[[#This Row],[Sales]]*Table1_1[[#This Row],[Discount]]</f>
        <v>388.8</v>
      </c>
      <c r="K732" s="1">
        <v>45486</v>
      </c>
      <c r="L732" s="11">
        <v>45490</v>
      </c>
      <c r="M732">
        <f>DATEDIF(Table1_1[[#This Row],[Order Date]],Table1_1[[#This Row],[Ship Date]],"D")</f>
        <v>4</v>
      </c>
    </row>
    <row r="733" spans="1:13" x14ac:dyDescent="0.35">
      <c r="A733" t="s">
        <v>1125</v>
      </c>
      <c r="B733" t="s">
        <v>559</v>
      </c>
      <c r="C733" t="s">
        <v>223</v>
      </c>
      <c r="D733" s="2">
        <v>2738.8</v>
      </c>
      <c r="E733">
        <v>8</v>
      </c>
      <c r="F733">
        <v>0.1</v>
      </c>
      <c r="G733" t="s">
        <v>14</v>
      </c>
      <c r="H733" t="s">
        <v>15</v>
      </c>
      <c r="I733" t="s">
        <v>16</v>
      </c>
      <c r="J733" s="2">
        <f>Table1_1[[#This Row],[Sales]]-Table1_1[[#This Row],[Sales]]*Table1_1[[#This Row],[Discount]]</f>
        <v>2464.92</v>
      </c>
      <c r="K733" s="1">
        <v>45507</v>
      </c>
      <c r="L733" s="11">
        <v>45514</v>
      </c>
      <c r="M733">
        <f>DATEDIF(Table1_1[[#This Row],[Order Date]],Table1_1[[#This Row],[Ship Date]],"D")</f>
        <v>7</v>
      </c>
    </row>
    <row r="734" spans="1:13" x14ac:dyDescent="0.35">
      <c r="A734" t="s">
        <v>1126</v>
      </c>
      <c r="B734" t="s">
        <v>162</v>
      </c>
      <c r="C734" t="s">
        <v>251</v>
      </c>
      <c r="D734" s="2">
        <v>4032.01</v>
      </c>
      <c r="E734">
        <v>8</v>
      </c>
      <c r="F734">
        <v>0.3</v>
      </c>
      <c r="G734" t="s">
        <v>39</v>
      </c>
      <c r="H734" t="s">
        <v>21</v>
      </c>
      <c r="I734" t="s">
        <v>43</v>
      </c>
      <c r="J734" s="2">
        <f>Table1_1[[#This Row],[Sales]]-Table1_1[[#This Row],[Sales]]*Table1_1[[#This Row],[Discount]]</f>
        <v>2822.4070000000002</v>
      </c>
      <c r="K734" s="1">
        <v>45558</v>
      </c>
      <c r="L734" s="11">
        <v>45565</v>
      </c>
      <c r="M734">
        <f>DATEDIF(Table1_1[[#This Row],[Order Date]],Table1_1[[#This Row],[Ship Date]],"D")</f>
        <v>7</v>
      </c>
    </row>
    <row r="735" spans="1:13" x14ac:dyDescent="0.35">
      <c r="A735" t="s">
        <v>1127</v>
      </c>
      <c r="B735" t="s">
        <v>275</v>
      </c>
      <c r="C735" t="s">
        <v>214</v>
      </c>
      <c r="D735" s="2">
        <v>4396.6400000000003</v>
      </c>
      <c r="E735">
        <v>7</v>
      </c>
      <c r="F735">
        <v>0.3</v>
      </c>
      <c r="G735" t="s">
        <v>39</v>
      </c>
      <c r="H735" t="s">
        <v>21</v>
      </c>
      <c r="I735" t="s">
        <v>20</v>
      </c>
      <c r="J735" s="2">
        <f>Table1_1[[#This Row],[Sales]]-Table1_1[[#This Row],[Sales]]*Table1_1[[#This Row],[Discount]]</f>
        <v>3077.6480000000001</v>
      </c>
      <c r="K735" s="1">
        <v>45027</v>
      </c>
      <c r="L735" s="11">
        <v>45031</v>
      </c>
      <c r="M735">
        <f>DATEDIF(Table1_1[[#This Row],[Order Date]],Table1_1[[#This Row],[Ship Date]],"D")</f>
        <v>4</v>
      </c>
    </row>
    <row r="736" spans="1:13" x14ac:dyDescent="0.35">
      <c r="A736" t="s">
        <v>1128</v>
      </c>
      <c r="B736" t="s">
        <v>906</v>
      </c>
      <c r="C736" t="s">
        <v>125</v>
      </c>
      <c r="D736" s="2">
        <v>1293.24</v>
      </c>
      <c r="E736">
        <v>5</v>
      </c>
      <c r="F736">
        <v>0.2</v>
      </c>
      <c r="G736" t="s">
        <v>14</v>
      </c>
      <c r="H736" t="s">
        <v>15</v>
      </c>
      <c r="I736" t="s">
        <v>20</v>
      </c>
      <c r="J736" s="2">
        <f>Table1_1[[#This Row],[Sales]]-Table1_1[[#This Row],[Sales]]*Table1_1[[#This Row],[Discount]]</f>
        <v>1034.5920000000001</v>
      </c>
      <c r="K736" s="1">
        <v>45782</v>
      </c>
      <c r="L736" s="11">
        <v>45783</v>
      </c>
      <c r="M736">
        <f>DATEDIF(Table1_1[[#This Row],[Order Date]],Table1_1[[#This Row],[Ship Date]],"D")</f>
        <v>1</v>
      </c>
    </row>
    <row r="737" spans="1:13" x14ac:dyDescent="0.35">
      <c r="A737" t="s">
        <v>1129</v>
      </c>
      <c r="B737" t="s">
        <v>115</v>
      </c>
      <c r="C737" t="s">
        <v>278</v>
      </c>
      <c r="D737" s="2">
        <v>3174.49</v>
      </c>
      <c r="E737">
        <v>8</v>
      </c>
      <c r="F737">
        <v>0.1</v>
      </c>
      <c r="G737" t="s">
        <v>39</v>
      </c>
      <c r="H737" t="s">
        <v>15</v>
      </c>
      <c r="I737" t="s">
        <v>43</v>
      </c>
      <c r="J737" s="2">
        <f>Table1_1[[#This Row],[Sales]]-Table1_1[[#This Row],[Sales]]*Table1_1[[#This Row],[Discount]]</f>
        <v>2857.0409999999997</v>
      </c>
      <c r="K737" s="1">
        <v>45823</v>
      </c>
      <c r="L737" s="11">
        <v>45826</v>
      </c>
      <c r="M737">
        <f>DATEDIF(Table1_1[[#This Row],[Order Date]],Table1_1[[#This Row],[Ship Date]],"D")</f>
        <v>3</v>
      </c>
    </row>
    <row r="738" spans="1:13" x14ac:dyDescent="0.35">
      <c r="A738" t="s">
        <v>1130</v>
      </c>
      <c r="B738" t="s">
        <v>394</v>
      </c>
      <c r="C738" t="s">
        <v>152</v>
      </c>
      <c r="D738" s="2">
        <v>2006.36</v>
      </c>
      <c r="E738">
        <v>3</v>
      </c>
      <c r="F738">
        <v>0.2</v>
      </c>
      <c r="G738" t="s">
        <v>39</v>
      </c>
      <c r="H738" t="s">
        <v>15</v>
      </c>
      <c r="I738" t="s">
        <v>43</v>
      </c>
      <c r="J738" s="2">
        <f>Table1_1[[#This Row],[Sales]]-Table1_1[[#This Row],[Sales]]*Table1_1[[#This Row],[Discount]]</f>
        <v>1605.088</v>
      </c>
      <c r="K738" s="1">
        <v>45699</v>
      </c>
      <c r="L738" s="11">
        <v>45706</v>
      </c>
      <c r="M738">
        <f>DATEDIF(Table1_1[[#This Row],[Order Date]],Table1_1[[#This Row],[Ship Date]],"D")</f>
        <v>7</v>
      </c>
    </row>
    <row r="739" spans="1:13" x14ac:dyDescent="0.35">
      <c r="A739" t="s">
        <v>1131</v>
      </c>
      <c r="B739" t="s">
        <v>455</v>
      </c>
      <c r="C739" t="s">
        <v>180</v>
      </c>
      <c r="D739" s="2">
        <v>404.01</v>
      </c>
      <c r="E739">
        <v>9</v>
      </c>
      <c r="F739">
        <v>0.3</v>
      </c>
      <c r="G739" t="s">
        <v>14</v>
      </c>
      <c r="H739" t="s">
        <v>15</v>
      </c>
      <c r="I739" t="s">
        <v>20</v>
      </c>
      <c r="J739" s="2">
        <f>Table1_1[[#This Row],[Sales]]-Table1_1[[#This Row],[Sales]]*Table1_1[[#This Row],[Discount]]</f>
        <v>282.80700000000002</v>
      </c>
      <c r="K739" s="1">
        <v>45154</v>
      </c>
      <c r="L739" s="11">
        <v>45160</v>
      </c>
      <c r="M739">
        <f>DATEDIF(Table1_1[[#This Row],[Order Date]],Table1_1[[#This Row],[Ship Date]],"D")</f>
        <v>6</v>
      </c>
    </row>
    <row r="740" spans="1:13" x14ac:dyDescent="0.35">
      <c r="A740" t="s">
        <v>1132</v>
      </c>
      <c r="B740" t="s">
        <v>518</v>
      </c>
      <c r="C740" t="s">
        <v>240</v>
      </c>
      <c r="D740" s="2">
        <v>2843.57</v>
      </c>
      <c r="E740">
        <v>8</v>
      </c>
      <c r="F740">
        <v>0.2</v>
      </c>
      <c r="G740" t="s">
        <v>14</v>
      </c>
      <c r="H740" t="s">
        <v>15</v>
      </c>
      <c r="I740" t="s">
        <v>20</v>
      </c>
      <c r="J740" s="2">
        <f>Table1_1[[#This Row],[Sales]]-Table1_1[[#This Row],[Sales]]*Table1_1[[#This Row],[Discount]]</f>
        <v>2274.8560000000002</v>
      </c>
      <c r="K740" s="1">
        <v>45534</v>
      </c>
      <c r="L740" s="11">
        <v>45539</v>
      </c>
      <c r="M740">
        <f>DATEDIF(Table1_1[[#This Row],[Order Date]],Table1_1[[#This Row],[Ship Date]],"D")</f>
        <v>5</v>
      </c>
    </row>
    <row r="741" spans="1:13" x14ac:dyDescent="0.35">
      <c r="A741" t="s">
        <v>1133</v>
      </c>
      <c r="B741" t="s">
        <v>672</v>
      </c>
      <c r="C741" t="s">
        <v>273</v>
      </c>
      <c r="D741" s="2">
        <v>2506.0300000000002</v>
      </c>
      <c r="E741">
        <v>5</v>
      </c>
      <c r="F741">
        <v>0.2</v>
      </c>
      <c r="G741" t="s">
        <v>39</v>
      </c>
      <c r="H741" t="s">
        <v>15</v>
      </c>
      <c r="I741" t="s">
        <v>43</v>
      </c>
      <c r="J741" s="2">
        <f>Table1_1[[#This Row],[Sales]]-Table1_1[[#This Row],[Sales]]*Table1_1[[#This Row],[Discount]]</f>
        <v>2004.8240000000001</v>
      </c>
      <c r="K741" s="1">
        <v>45661</v>
      </c>
      <c r="L741" s="11">
        <v>45668</v>
      </c>
      <c r="M741">
        <f>DATEDIF(Table1_1[[#This Row],[Order Date]],Table1_1[[#This Row],[Ship Date]],"D")</f>
        <v>7</v>
      </c>
    </row>
    <row r="742" spans="1:13" x14ac:dyDescent="0.35">
      <c r="A742" t="s">
        <v>1134</v>
      </c>
      <c r="B742" t="s">
        <v>86</v>
      </c>
      <c r="C742" t="s">
        <v>223</v>
      </c>
      <c r="D742" s="2">
        <v>251.22</v>
      </c>
      <c r="E742">
        <v>8</v>
      </c>
      <c r="F742">
        <v>0.3</v>
      </c>
      <c r="G742" t="s">
        <v>19</v>
      </c>
      <c r="H742" t="s">
        <v>15</v>
      </c>
      <c r="I742" t="s">
        <v>20</v>
      </c>
      <c r="J742" s="2">
        <f>Table1_1[[#This Row],[Sales]]-Table1_1[[#This Row],[Sales]]*Table1_1[[#This Row],[Discount]]</f>
        <v>175.85399999999998</v>
      </c>
      <c r="K742" s="1">
        <v>45636</v>
      </c>
      <c r="L742" s="11">
        <v>45642</v>
      </c>
      <c r="M742">
        <f>DATEDIF(Table1_1[[#This Row],[Order Date]],Table1_1[[#This Row],[Ship Date]],"D")</f>
        <v>6</v>
      </c>
    </row>
    <row r="743" spans="1:13" x14ac:dyDescent="0.35">
      <c r="A743" t="s">
        <v>1135</v>
      </c>
      <c r="B743" t="s">
        <v>431</v>
      </c>
      <c r="C743" t="s">
        <v>329</v>
      </c>
      <c r="D743" s="2">
        <v>320.23</v>
      </c>
      <c r="E743">
        <v>5</v>
      </c>
      <c r="F743">
        <v>0</v>
      </c>
      <c r="G743" t="s">
        <v>14</v>
      </c>
      <c r="H743" t="s">
        <v>21</v>
      </c>
      <c r="I743" t="s">
        <v>43</v>
      </c>
      <c r="J743" s="2">
        <f>Table1_1[[#This Row],[Sales]]-Table1_1[[#This Row],[Sales]]*Table1_1[[#This Row],[Discount]]</f>
        <v>320.23</v>
      </c>
      <c r="K743" s="1">
        <v>45560</v>
      </c>
      <c r="L743" s="11">
        <v>45562</v>
      </c>
      <c r="M743">
        <f>DATEDIF(Table1_1[[#This Row],[Order Date]],Table1_1[[#This Row],[Ship Date]],"D")</f>
        <v>2</v>
      </c>
    </row>
    <row r="744" spans="1:13" x14ac:dyDescent="0.35">
      <c r="A744" t="s">
        <v>1136</v>
      </c>
      <c r="B744" t="s">
        <v>171</v>
      </c>
      <c r="C744" t="s">
        <v>160</v>
      </c>
      <c r="D744" s="2">
        <v>3751.37</v>
      </c>
      <c r="E744">
        <v>3</v>
      </c>
      <c r="F744">
        <v>0.3</v>
      </c>
      <c r="G744" t="s">
        <v>19</v>
      </c>
      <c r="H744" t="s">
        <v>15</v>
      </c>
      <c r="I744" t="s">
        <v>16</v>
      </c>
      <c r="J744" s="2">
        <f>Table1_1[[#This Row],[Sales]]-Table1_1[[#This Row],[Sales]]*Table1_1[[#This Row],[Discount]]</f>
        <v>2625.9589999999998</v>
      </c>
      <c r="K744" s="1">
        <v>45324</v>
      </c>
      <c r="L744" s="11">
        <v>45329</v>
      </c>
      <c r="M744">
        <f>DATEDIF(Table1_1[[#This Row],[Order Date]],Table1_1[[#This Row],[Ship Date]],"D")</f>
        <v>5</v>
      </c>
    </row>
    <row r="745" spans="1:13" x14ac:dyDescent="0.35">
      <c r="A745" t="s">
        <v>1137</v>
      </c>
      <c r="B745" t="s">
        <v>349</v>
      </c>
      <c r="C745" t="s">
        <v>220</v>
      </c>
      <c r="D745" s="2">
        <v>4887.04</v>
      </c>
      <c r="E745">
        <v>9</v>
      </c>
      <c r="F745">
        <v>0.2</v>
      </c>
      <c r="G745" t="s">
        <v>14</v>
      </c>
      <c r="H745" t="s">
        <v>15</v>
      </c>
      <c r="I745" t="s">
        <v>20</v>
      </c>
      <c r="J745" s="2">
        <f>Table1_1[[#This Row],[Sales]]-Table1_1[[#This Row],[Sales]]*Table1_1[[#This Row],[Discount]]</f>
        <v>3909.6320000000001</v>
      </c>
      <c r="K745" s="1">
        <v>45678</v>
      </c>
      <c r="L745" s="11">
        <v>45680</v>
      </c>
      <c r="M745">
        <f>DATEDIF(Table1_1[[#This Row],[Order Date]],Table1_1[[#This Row],[Ship Date]],"D")</f>
        <v>2</v>
      </c>
    </row>
    <row r="746" spans="1:13" x14ac:dyDescent="0.35">
      <c r="A746" t="s">
        <v>1138</v>
      </c>
      <c r="B746" t="s">
        <v>317</v>
      </c>
      <c r="C746" t="s">
        <v>223</v>
      </c>
      <c r="D746" s="2">
        <v>1168.3</v>
      </c>
      <c r="E746">
        <v>10</v>
      </c>
      <c r="F746">
        <v>0.2</v>
      </c>
      <c r="G746" t="s">
        <v>14</v>
      </c>
      <c r="H746" t="s">
        <v>21</v>
      </c>
      <c r="I746" t="s">
        <v>16</v>
      </c>
      <c r="J746" s="2">
        <f>Table1_1[[#This Row],[Sales]]-Table1_1[[#This Row],[Sales]]*Table1_1[[#This Row],[Discount]]</f>
        <v>934.64</v>
      </c>
      <c r="K746" s="1">
        <v>45687</v>
      </c>
      <c r="L746" s="11">
        <v>45688</v>
      </c>
      <c r="M746">
        <f>DATEDIF(Table1_1[[#This Row],[Order Date]],Table1_1[[#This Row],[Ship Date]],"D")</f>
        <v>1</v>
      </c>
    </row>
    <row r="747" spans="1:13" x14ac:dyDescent="0.35">
      <c r="A747" t="s">
        <v>1139</v>
      </c>
      <c r="B747" t="s">
        <v>407</v>
      </c>
      <c r="C747" t="s">
        <v>458</v>
      </c>
      <c r="D747" s="2">
        <v>696.05</v>
      </c>
      <c r="E747">
        <v>9</v>
      </c>
      <c r="F747">
        <v>0.3</v>
      </c>
      <c r="G747" t="s">
        <v>39</v>
      </c>
      <c r="H747" t="s">
        <v>15</v>
      </c>
      <c r="I747" t="s">
        <v>20</v>
      </c>
      <c r="J747" s="2">
        <f>Table1_1[[#This Row],[Sales]]-Table1_1[[#This Row],[Sales]]*Table1_1[[#This Row],[Discount]]</f>
        <v>487.23500000000001</v>
      </c>
      <c r="K747" s="1">
        <v>45119</v>
      </c>
      <c r="L747" s="11">
        <v>45123</v>
      </c>
      <c r="M747">
        <f>DATEDIF(Table1_1[[#This Row],[Order Date]],Table1_1[[#This Row],[Ship Date]],"D")</f>
        <v>4</v>
      </c>
    </row>
    <row r="748" spans="1:13" x14ac:dyDescent="0.35">
      <c r="A748" t="s">
        <v>1140</v>
      </c>
      <c r="B748" t="s">
        <v>556</v>
      </c>
      <c r="C748" t="s">
        <v>68</v>
      </c>
      <c r="D748" s="2">
        <v>1902.77</v>
      </c>
      <c r="E748">
        <v>9</v>
      </c>
      <c r="F748">
        <v>0.1</v>
      </c>
      <c r="G748" t="s">
        <v>39</v>
      </c>
      <c r="H748" t="s">
        <v>21</v>
      </c>
      <c r="I748" t="s">
        <v>20</v>
      </c>
      <c r="J748" s="2">
        <f>Table1_1[[#This Row],[Sales]]-Table1_1[[#This Row],[Sales]]*Table1_1[[#This Row],[Discount]]</f>
        <v>1712.4929999999999</v>
      </c>
      <c r="K748" s="1">
        <v>45640</v>
      </c>
      <c r="L748" s="11">
        <v>45643</v>
      </c>
      <c r="M748">
        <f>DATEDIF(Table1_1[[#This Row],[Order Date]],Table1_1[[#This Row],[Ship Date]],"D")</f>
        <v>3</v>
      </c>
    </row>
    <row r="749" spans="1:13" x14ac:dyDescent="0.35">
      <c r="A749" t="s">
        <v>1141</v>
      </c>
      <c r="B749" t="s">
        <v>855</v>
      </c>
      <c r="C749" t="s">
        <v>237</v>
      </c>
      <c r="D749" s="2">
        <v>3348.97</v>
      </c>
      <c r="E749">
        <v>1</v>
      </c>
      <c r="F749">
        <v>0.2</v>
      </c>
      <c r="G749" t="s">
        <v>14</v>
      </c>
      <c r="H749" t="s">
        <v>21</v>
      </c>
      <c r="I749" t="s">
        <v>43</v>
      </c>
      <c r="J749" s="2">
        <f>Table1_1[[#This Row],[Sales]]-Table1_1[[#This Row],[Sales]]*Table1_1[[#This Row],[Discount]]</f>
        <v>2679.1759999999999</v>
      </c>
      <c r="K749" s="1">
        <v>45179</v>
      </c>
      <c r="L749" s="11">
        <v>45183</v>
      </c>
      <c r="M749">
        <f>DATEDIF(Table1_1[[#This Row],[Order Date]],Table1_1[[#This Row],[Ship Date]],"D")</f>
        <v>4</v>
      </c>
    </row>
    <row r="750" spans="1:13" x14ac:dyDescent="0.35">
      <c r="A750" t="s">
        <v>1142</v>
      </c>
      <c r="B750" t="s">
        <v>222</v>
      </c>
      <c r="C750" t="s">
        <v>273</v>
      </c>
      <c r="D750" s="2">
        <v>1886.13</v>
      </c>
      <c r="E750">
        <v>4</v>
      </c>
      <c r="F750">
        <v>0.3</v>
      </c>
      <c r="G750" t="s">
        <v>39</v>
      </c>
      <c r="H750" t="s">
        <v>21</v>
      </c>
      <c r="I750" t="s">
        <v>20</v>
      </c>
      <c r="J750" s="2">
        <f>Table1_1[[#This Row],[Sales]]-Table1_1[[#This Row],[Sales]]*Table1_1[[#This Row],[Discount]]</f>
        <v>1320.2910000000002</v>
      </c>
      <c r="K750" s="1">
        <v>45799</v>
      </c>
      <c r="L750" s="11">
        <v>45804</v>
      </c>
      <c r="M750">
        <f>DATEDIF(Table1_1[[#This Row],[Order Date]],Table1_1[[#This Row],[Ship Date]],"D")</f>
        <v>5</v>
      </c>
    </row>
    <row r="751" spans="1:13" x14ac:dyDescent="0.35">
      <c r="A751" t="s">
        <v>1143</v>
      </c>
      <c r="B751" t="s">
        <v>248</v>
      </c>
      <c r="C751" t="s">
        <v>207</v>
      </c>
      <c r="D751" s="2">
        <v>3547.91</v>
      </c>
      <c r="E751">
        <v>6</v>
      </c>
      <c r="F751">
        <v>0</v>
      </c>
      <c r="G751" t="s">
        <v>14</v>
      </c>
      <c r="H751" t="s">
        <v>15</v>
      </c>
      <c r="I751" t="s">
        <v>43</v>
      </c>
      <c r="J751" s="2">
        <f>Table1_1[[#This Row],[Sales]]-Table1_1[[#This Row],[Sales]]*Table1_1[[#This Row],[Discount]]</f>
        <v>3547.91</v>
      </c>
      <c r="K751" s="1">
        <v>45528</v>
      </c>
      <c r="L751" s="11">
        <v>45532</v>
      </c>
      <c r="M751">
        <f>DATEDIF(Table1_1[[#This Row],[Order Date]],Table1_1[[#This Row],[Ship Date]],"D")</f>
        <v>4</v>
      </c>
    </row>
    <row r="752" spans="1:13" x14ac:dyDescent="0.35">
      <c r="A752" t="s">
        <v>1144</v>
      </c>
      <c r="B752" t="s">
        <v>1115</v>
      </c>
      <c r="C752" t="s">
        <v>102</v>
      </c>
      <c r="D752" s="2">
        <v>4581.17</v>
      </c>
      <c r="E752">
        <v>8</v>
      </c>
      <c r="F752">
        <v>0.1</v>
      </c>
      <c r="G752" t="s">
        <v>39</v>
      </c>
      <c r="H752" t="s">
        <v>21</v>
      </c>
      <c r="I752" t="s">
        <v>20</v>
      </c>
      <c r="J752" s="2">
        <f>Table1_1[[#This Row],[Sales]]-Table1_1[[#This Row],[Sales]]*Table1_1[[#This Row],[Discount]]</f>
        <v>4123.0529999999999</v>
      </c>
      <c r="K752" s="1">
        <v>45320</v>
      </c>
      <c r="L752" s="11">
        <v>45321</v>
      </c>
      <c r="M752">
        <f>DATEDIF(Table1_1[[#This Row],[Order Date]],Table1_1[[#This Row],[Ship Date]],"D")</f>
        <v>1</v>
      </c>
    </row>
    <row r="753" spans="1:13" x14ac:dyDescent="0.35">
      <c r="A753" t="s">
        <v>1145</v>
      </c>
      <c r="B753" t="s">
        <v>137</v>
      </c>
      <c r="C753" t="s">
        <v>143</v>
      </c>
      <c r="D753" s="2">
        <v>187.07</v>
      </c>
      <c r="E753">
        <v>4</v>
      </c>
      <c r="F753">
        <v>0.2</v>
      </c>
      <c r="G753" t="s">
        <v>19</v>
      </c>
      <c r="H753" t="s">
        <v>15</v>
      </c>
      <c r="I753" t="s">
        <v>16</v>
      </c>
      <c r="J753" s="2">
        <f>Table1_1[[#This Row],[Sales]]-Table1_1[[#This Row],[Sales]]*Table1_1[[#This Row],[Discount]]</f>
        <v>149.65600000000001</v>
      </c>
      <c r="K753" s="1">
        <v>45165</v>
      </c>
      <c r="L753" s="11">
        <v>45170</v>
      </c>
      <c r="M753">
        <f>DATEDIF(Table1_1[[#This Row],[Order Date]],Table1_1[[#This Row],[Ship Date]],"D")</f>
        <v>5</v>
      </c>
    </row>
    <row r="754" spans="1:13" x14ac:dyDescent="0.35">
      <c r="A754" t="s">
        <v>1146</v>
      </c>
      <c r="B754" t="s">
        <v>331</v>
      </c>
      <c r="C754" t="s">
        <v>108</v>
      </c>
      <c r="D754" s="2">
        <v>1108.29</v>
      </c>
      <c r="E754">
        <v>1</v>
      </c>
      <c r="F754">
        <v>0</v>
      </c>
      <c r="G754" t="s">
        <v>14</v>
      </c>
      <c r="H754" t="s">
        <v>15</v>
      </c>
      <c r="I754" t="s">
        <v>43</v>
      </c>
      <c r="J754" s="2">
        <f>Table1_1[[#This Row],[Sales]]-Table1_1[[#This Row],[Sales]]*Table1_1[[#This Row],[Discount]]</f>
        <v>1108.29</v>
      </c>
      <c r="K754" s="1">
        <v>45387</v>
      </c>
      <c r="L754" s="11">
        <v>45391</v>
      </c>
      <c r="M754">
        <f>DATEDIF(Table1_1[[#This Row],[Order Date]],Table1_1[[#This Row],[Ship Date]],"D")</f>
        <v>4</v>
      </c>
    </row>
    <row r="755" spans="1:13" x14ac:dyDescent="0.35">
      <c r="A755" t="s">
        <v>1147</v>
      </c>
      <c r="B755" t="s">
        <v>380</v>
      </c>
      <c r="C755" t="s">
        <v>166</v>
      </c>
      <c r="D755" s="2">
        <v>807.48</v>
      </c>
      <c r="E755">
        <v>5</v>
      </c>
      <c r="F755">
        <v>0.3</v>
      </c>
      <c r="G755" t="s">
        <v>39</v>
      </c>
      <c r="H755" t="s">
        <v>15</v>
      </c>
      <c r="I755" t="s">
        <v>43</v>
      </c>
      <c r="J755" s="2">
        <f>Table1_1[[#This Row],[Sales]]-Table1_1[[#This Row],[Sales]]*Table1_1[[#This Row],[Discount]]</f>
        <v>565.23599999999999</v>
      </c>
      <c r="K755" s="1">
        <v>45149</v>
      </c>
      <c r="L755" s="11">
        <v>45152</v>
      </c>
      <c r="M755">
        <f>DATEDIF(Table1_1[[#This Row],[Order Date]],Table1_1[[#This Row],[Ship Date]],"D")</f>
        <v>3</v>
      </c>
    </row>
    <row r="756" spans="1:13" x14ac:dyDescent="0.35">
      <c r="A756" t="s">
        <v>1148</v>
      </c>
      <c r="B756" t="s">
        <v>306</v>
      </c>
      <c r="C756" t="s">
        <v>68</v>
      </c>
      <c r="D756" s="2">
        <v>2581.7800000000002</v>
      </c>
      <c r="E756">
        <v>7</v>
      </c>
      <c r="F756">
        <v>0.2</v>
      </c>
      <c r="G756" t="s">
        <v>19</v>
      </c>
      <c r="H756" t="s">
        <v>21</v>
      </c>
      <c r="I756" t="s">
        <v>43</v>
      </c>
      <c r="J756" s="2">
        <f>Table1_1[[#This Row],[Sales]]-Table1_1[[#This Row],[Sales]]*Table1_1[[#This Row],[Discount]]</f>
        <v>2065.424</v>
      </c>
      <c r="K756" s="1">
        <v>45724</v>
      </c>
      <c r="L756" s="11">
        <v>45728</v>
      </c>
      <c r="M756">
        <f>DATEDIF(Table1_1[[#This Row],[Order Date]],Table1_1[[#This Row],[Ship Date]],"D")</f>
        <v>4</v>
      </c>
    </row>
    <row r="757" spans="1:13" x14ac:dyDescent="0.35">
      <c r="A757" t="s">
        <v>1149</v>
      </c>
      <c r="B757" t="s">
        <v>335</v>
      </c>
      <c r="C757" t="s">
        <v>42</v>
      </c>
      <c r="D757" s="2">
        <v>3891.89</v>
      </c>
      <c r="E757">
        <v>8</v>
      </c>
      <c r="F757">
        <v>0.3</v>
      </c>
      <c r="G757" t="s">
        <v>39</v>
      </c>
      <c r="H757" t="s">
        <v>15</v>
      </c>
      <c r="I757" t="s">
        <v>43</v>
      </c>
      <c r="J757" s="2">
        <f>Table1_1[[#This Row],[Sales]]-Table1_1[[#This Row],[Sales]]*Table1_1[[#This Row],[Discount]]</f>
        <v>2724.3229999999999</v>
      </c>
      <c r="K757" s="1">
        <v>45182</v>
      </c>
      <c r="L757" s="11">
        <v>45186</v>
      </c>
      <c r="M757">
        <f>DATEDIF(Table1_1[[#This Row],[Order Date]],Table1_1[[#This Row],[Ship Date]],"D")</f>
        <v>4</v>
      </c>
    </row>
    <row r="758" spans="1:13" x14ac:dyDescent="0.35">
      <c r="A758" t="s">
        <v>1150</v>
      </c>
      <c r="B758" t="s">
        <v>67</v>
      </c>
      <c r="C758" t="s">
        <v>911</v>
      </c>
      <c r="D758" s="2">
        <v>3346.75</v>
      </c>
      <c r="E758">
        <v>4</v>
      </c>
      <c r="F758">
        <v>0.3</v>
      </c>
      <c r="G758" t="s">
        <v>14</v>
      </c>
      <c r="H758" t="s">
        <v>21</v>
      </c>
      <c r="I758" t="s">
        <v>20</v>
      </c>
      <c r="J758" s="2">
        <f>Table1_1[[#This Row],[Sales]]-Table1_1[[#This Row],[Sales]]*Table1_1[[#This Row],[Discount]]</f>
        <v>2342.7249999999999</v>
      </c>
      <c r="K758" s="1">
        <v>45637</v>
      </c>
      <c r="L758" s="11">
        <v>45643</v>
      </c>
      <c r="M758">
        <f>DATEDIF(Table1_1[[#This Row],[Order Date]],Table1_1[[#This Row],[Ship Date]],"D")</f>
        <v>6</v>
      </c>
    </row>
    <row r="759" spans="1:13" x14ac:dyDescent="0.35">
      <c r="A759" t="s">
        <v>1151</v>
      </c>
      <c r="B759" t="s">
        <v>59</v>
      </c>
      <c r="C759" t="s">
        <v>624</v>
      </c>
      <c r="D759" s="2">
        <v>2246.2800000000002</v>
      </c>
      <c r="E759">
        <v>9</v>
      </c>
      <c r="F759">
        <v>0</v>
      </c>
      <c r="G759" t="s">
        <v>14</v>
      </c>
      <c r="H759" t="s">
        <v>15</v>
      </c>
      <c r="I759" t="s">
        <v>16</v>
      </c>
      <c r="J759" s="2">
        <f>Table1_1[[#This Row],[Sales]]-Table1_1[[#This Row],[Sales]]*Table1_1[[#This Row],[Discount]]</f>
        <v>2246.2800000000002</v>
      </c>
      <c r="K759" s="1">
        <v>45300</v>
      </c>
      <c r="L759" s="11">
        <v>45304</v>
      </c>
      <c r="M759">
        <f>DATEDIF(Table1_1[[#This Row],[Order Date]],Table1_1[[#This Row],[Ship Date]],"D")</f>
        <v>4</v>
      </c>
    </row>
    <row r="760" spans="1:13" x14ac:dyDescent="0.35">
      <c r="A760" t="s">
        <v>1152</v>
      </c>
      <c r="B760" t="s">
        <v>290</v>
      </c>
      <c r="C760" t="s">
        <v>251</v>
      </c>
      <c r="D760" s="2">
        <v>4054.31</v>
      </c>
      <c r="E760">
        <v>1</v>
      </c>
      <c r="F760">
        <v>0.1</v>
      </c>
      <c r="G760" t="s">
        <v>39</v>
      </c>
      <c r="H760" t="s">
        <v>21</v>
      </c>
      <c r="I760" t="s">
        <v>16</v>
      </c>
      <c r="J760" s="2">
        <f>Table1_1[[#This Row],[Sales]]-Table1_1[[#This Row],[Sales]]*Table1_1[[#This Row],[Discount]]</f>
        <v>3648.8789999999999</v>
      </c>
      <c r="K760" s="1">
        <v>45588</v>
      </c>
      <c r="L760" s="11">
        <v>45594</v>
      </c>
      <c r="M760">
        <f>DATEDIF(Table1_1[[#This Row],[Order Date]],Table1_1[[#This Row],[Ship Date]],"D")</f>
        <v>6</v>
      </c>
    </row>
    <row r="761" spans="1:13" x14ac:dyDescent="0.35">
      <c r="A761" t="s">
        <v>1153</v>
      </c>
      <c r="B761" t="s">
        <v>1154</v>
      </c>
      <c r="C761" t="s">
        <v>175</v>
      </c>
      <c r="D761" s="2">
        <v>3832.77</v>
      </c>
      <c r="E761">
        <v>6</v>
      </c>
      <c r="F761">
        <v>0</v>
      </c>
      <c r="G761" t="s">
        <v>14</v>
      </c>
      <c r="H761" t="s">
        <v>15</v>
      </c>
      <c r="I761" t="s">
        <v>16</v>
      </c>
      <c r="J761" s="2">
        <f>Table1_1[[#This Row],[Sales]]-Table1_1[[#This Row],[Sales]]*Table1_1[[#This Row],[Discount]]</f>
        <v>3832.77</v>
      </c>
      <c r="K761" s="1">
        <v>45246</v>
      </c>
      <c r="L761" s="11">
        <v>45250</v>
      </c>
      <c r="M761">
        <f>DATEDIF(Table1_1[[#This Row],[Order Date]],Table1_1[[#This Row],[Ship Date]],"D")</f>
        <v>4</v>
      </c>
    </row>
    <row r="762" spans="1:13" x14ac:dyDescent="0.35">
      <c r="A762" t="s">
        <v>1155</v>
      </c>
      <c r="B762" t="s">
        <v>721</v>
      </c>
      <c r="C762" t="s">
        <v>31</v>
      </c>
      <c r="D762" s="2">
        <v>896.71</v>
      </c>
      <c r="E762">
        <v>10</v>
      </c>
      <c r="F762">
        <v>0</v>
      </c>
      <c r="G762" t="s">
        <v>14</v>
      </c>
      <c r="H762" t="s">
        <v>21</v>
      </c>
      <c r="I762" t="s">
        <v>16</v>
      </c>
      <c r="J762" s="2">
        <f>Table1_1[[#This Row],[Sales]]-Table1_1[[#This Row],[Sales]]*Table1_1[[#This Row],[Discount]]</f>
        <v>896.71</v>
      </c>
      <c r="K762" s="1">
        <v>45517</v>
      </c>
      <c r="L762" s="11">
        <v>45518</v>
      </c>
      <c r="M762">
        <f>DATEDIF(Table1_1[[#This Row],[Order Date]],Table1_1[[#This Row],[Ship Date]],"D")</f>
        <v>1</v>
      </c>
    </row>
    <row r="763" spans="1:13" x14ac:dyDescent="0.35">
      <c r="A763" t="s">
        <v>1156</v>
      </c>
      <c r="B763" t="s">
        <v>510</v>
      </c>
      <c r="C763" t="s">
        <v>152</v>
      </c>
      <c r="D763" s="2">
        <v>2959.11</v>
      </c>
      <c r="E763">
        <v>4</v>
      </c>
      <c r="F763">
        <v>0.3</v>
      </c>
      <c r="G763" t="s">
        <v>39</v>
      </c>
      <c r="H763" t="s">
        <v>21</v>
      </c>
      <c r="I763" t="s">
        <v>20</v>
      </c>
      <c r="J763" s="2">
        <f>Table1_1[[#This Row],[Sales]]-Table1_1[[#This Row],[Sales]]*Table1_1[[#This Row],[Discount]]</f>
        <v>2071.377</v>
      </c>
      <c r="K763" s="1">
        <v>45661</v>
      </c>
      <c r="L763" s="11">
        <v>45666</v>
      </c>
      <c r="M763">
        <f>DATEDIF(Table1_1[[#This Row],[Order Date]],Table1_1[[#This Row],[Ship Date]],"D")</f>
        <v>5</v>
      </c>
    </row>
    <row r="764" spans="1:13" x14ac:dyDescent="0.35">
      <c r="A764" t="s">
        <v>1157</v>
      </c>
      <c r="B764" t="s">
        <v>913</v>
      </c>
      <c r="C764" t="s">
        <v>143</v>
      </c>
      <c r="D764" s="2">
        <v>2466.54</v>
      </c>
      <c r="E764">
        <v>9</v>
      </c>
      <c r="F764">
        <v>0</v>
      </c>
      <c r="G764" t="s">
        <v>14</v>
      </c>
      <c r="H764" t="s">
        <v>15</v>
      </c>
      <c r="I764" t="s">
        <v>43</v>
      </c>
      <c r="J764" s="2">
        <f>Table1_1[[#This Row],[Sales]]-Table1_1[[#This Row],[Sales]]*Table1_1[[#This Row],[Discount]]</f>
        <v>2466.54</v>
      </c>
      <c r="K764" s="1">
        <v>45114</v>
      </c>
      <c r="L764" s="11">
        <v>45115</v>
      </c>
      <c r="M764">
        <f>DATEDIF(Table1_1[[#This Row],[Order Date]],Table1_1[[#This Row],[Ship Date]],"D")</f>
        <v>1</v>
      </c>
    </row>
    <row r="765" spans="1:13" x14ac:dyDescent="0.35">
      <c r="A765" t="s">
        <v>1158</v>
      </c>
      <c r="B765" t="s">
        <v>601</v>
      </c>
      <c r="C765" t="s">
        <v>229</v>
      </c>
      <c r="D765" s="2">
        <v>3923.27</v>
      </c>
      <c r="E765">
        <v>3</v>
      </c>
      <c r="F765">
        <v>0.3</v>
      </c>
      <c r="G765" t="s">
        <v>39</v>
      </c>
      <c r="H765" t="s">
        <v>21</v>
      </c>
      <c r="I765" t="s">
        <v>20</v>
      </c>
      <c r="J765" s="2">
        <f>Table1_1[[#This Row],[Sales]]-Table1_1[[#This Row],[Sales]]*Table1_1[[#This Row],[Discount]]</f>
        <v>2746.2889999999998</v>
      </c>
      <c r="K765" s="1">
        <v>45333</v>
      </c>
      <c r="L765" s="11">
        <v>45335</v>
      </c>
      <c r="M765">
        <f>DATEDIF(Table1_1[[#This Row],[Order Date]],Table1_1[[#This Row],[Ship Date]],"D")</f>
        <v>2</v>
      </c>
    </row>
    <row r="766" spans="1:13" x14ac:dyDescent="0.35">
      <c r="A766" t="s">
        <v>1159</v>
      </c>
      <c r="B766" t="s">
        <v>538</v>
      </c>
      <c r="C766" t="s">
        <v>388</v>
      </c>
      <c r="D766" s="2">
        <v>2799.68</v>
      </c>
      <c r="E766">
        <v>7</v>
      </c>
      <c r="F766">
        <v>0.3</v>
      </c>
      <c r="G766" t="s">
        <v>39</v>
      </c>
      <c r="H766" t="s">
        <v>21</v>
      </c>
      <c r="I766" t="s">
        <v>43</v>
      </c>
      <c r="J766" s="2">
        <f>Table1_1[[#This Row],[Sales]]-Table1_1[[#This Row],[Sales]]*Table1_1[[#This Row],[Discount]]</f>
        <v>1959.7759999999998</v>
      </c>
      <c r="K766" s="1">
        <v>45499</v>
      </c>
      <c r="L766" s="11">
        <v>45501</v>
      </c>
      <c r="M766">
        <f>DATEDIF(Table1_1[[#This Row],[Order Date]],Table1_1[[#This Row],[Ship Date]],"D")</f>
        <v>2</v>
      </c>
    </row>
    <row r="767" spans="1:13" x14ac:dyDescent="0.35">
      <c r="A767" t="s">
        <v>1160</v>
      </c>
      <c r="B767" t="s">
        <v>76</v>
      </c>
      <c r="C767" t="s">
        <v>662</v>
      </c>
      <c r="D767" s="2">
        <v>3120.96</v>
      </c>
      <c r="E767">
        <v>4</v>
      </c>
      <c r="F767">
        <v>0</v>
      </c>
      <c r="G767" t="s">
        <v>14</v>
      </c>
      <c r="H767" t="s">
        <v>21</v>
      </c>
      <c r="I767" t="s">
        <v>16</v>
      </c>
      <c r="J767" s="2">
        <f>Table1_1[[#This Row],[Sales]]-Table1_1[[#This Row],[Sales]]*Table1_1[[#This Row],[Discount]]</f>
        <v>3120.96</v>
      </c>
      <c r="K767" s="1">
        <v>45088</v>
      </c>
      <c r="L767" s="11">
        <v>45093</v>
      </c>
      <c r="M767">
        <f>DATEDIF(Table1_1[[#This Row],[Order Date]],Table1_1[[#This Row],[Ship Date]],"D")</f>
        <v>5</v>
      </c>
    </row>
    <row r="768" spans="1:13" x14ac:dyDescent="0.35">
      <c r="A768" t="s">
        <v>1161</v>
      </c>
      <c r="B768" t="s">
        <v>650</v>
      </c>
      <c r="C768" t="s">
        <v>376</v>
      </c>
      <c r="D768" s="2">
        <v>841.81</v>
      </c>
      <c r="E768">
        <v>10</v>
      </c>
      <c r="F768">
        <v>0.1</v>
      </c>
      <c r="G768" t="s">
        <v>14</v>
      </c>
      <c r="H768" t="s">
        <v>15</v>
      </c>
      <c r="I768" t="s">
        <v>43</v>
      </c>
      <c r="J768" s="2">
        <f>Table1_1[[#This Row],[Sales]]-Table1_1[[#This Row],[Sales]]*Table1_1[[#This Row],[Discount]]</f>
        <v>757.62899999999991</v>
      </c>
      <c r="K768" s="1">
        <v>44945</v>
      </c>
      <c r="L768" s="11">
        <v>44952</v>
      </c>
      <c r="M768">
        <f>DATEDIF(Table1_1[[#This Row],[Order Date]],Table1_1[[#This Row],[Ship Date]],"D")</f>
        <v>7</v>
      </c>
    </row>
    <row r="769" spans="1:13" x14ac:dyDescent="0.35">
      <c r="A769" t="s">
        <v>1162</v>
      </c>
      <c r="B769" t="s">
        <v>216</v>
      </c>
      <c r="C769" t="s">
        <v>143</v>
      </c>
      <c r="D769" s="2">
        <v>3176.62</v>
      </c>
      <c r="E769">
        <v>10</v>
      </c>
      <c r="F769">
        <v>0.1</v>
      </c>
      <c r="G769" t="s">
        <v>14</v>
      </c>
      <c r="H769" t="s">
        <v>21</v>
      </c>
      <c r="I769" t="s">
        <v>16</v>
      </c>
      <c r="J769" s="2">
        <f>Table1_1[[#This Row],[Sales]]-Table1_1[[#This Row],[Sales]]*Table1_1[[#This Row],[Discount]]</f>
        <v>2858.9579999999996</v>
      </c>
      <c r="K769" s="1">
        <v>45650</v>
      </c>
      <c r="L769" s="11">
        <v>45655</v>
      </c>
      <c r="M769">
        <f>DATEDIF(Table1_1[[#This Row],[Order Date]],Table1_1[[#This Row],[Ship Date]],"D")</f>
        <v>5</v>
      </c>
    </row>
    <row r="770" spans="1:13" x14ac:dyDescent="0.35">
      <c r="A770" t="s">
        <v>1163</v>
      </c>
      <c r="B770" t="s">
        <v>48</v>
      </c>
      <c r="C770" t="s">
        <v>146</v>
      </c>
      <c r="D770" s="2">
        <v>3312.09</v>
      </c>
      <c r="E770">
        <v>10</v>
      </c>
      <c r="F770">
        <v>0.2</v>
      </c>
      <c r="G770" t="s">
        <v>14</v>
      </c>
      <c r="H770" t="s">
        <v>21</v>
      </c>
      <c r="I770" t="s">
        <v>43</v>
      </c>
      <c r="J770" s="2">
        <f>Table1_1[[#This Row],[Sales]]-Table1_1[[#This Row],[Sales]]*Table1_1[[#This Row],[Discount]]</f>
        <v>2649.672</v>
      </c>
      <c r="K770" s="1">
        <v>45622</v>
      </c>
      <c r="L770" s="11">
        <v>45629</v>
      </c>
      <c r="M770">
        <f>DATEDIF(Table1_1[[#This Row],[Order Date]],Table1_1[[#This Row],[Ship Date]],"D")</f>
        <v>7</v>
      </c>
    </row>
    <row r="771" spans="1:13" x14ac:dyDescent="0.35">
      <c r="A771" t="s">
        <v>1164</v>
      </c>
      <c r="B771" t="s">
        <v>213</v>
      </c>
      <c r="C771" t="s">
        <v>135</v>
      </c>
      <c r="D771" s="2">
        <v>2032.34</v>
      </c>
      <c r="E771">
        <v>9</v>
      </c>
      <c r="F771">
        <v>0.2</v>
      </c>
      <c r="G771" t="s">
        <v>14</v>
      </c>
      <c r="H771" t="s">
        <v>15</v>
      </c>
      <c r="I771" t="s">
        <v>43</v>
      </c>
      <c r="J771" s="2">
        <f>Table1_1[[#This Row],[Sales]]-Table1_1[[#This Row],[Sales]]*Table1_1[[#This Row],[Discount]]</f>
        <v>1625.8719999999998</v>
      </c>
      <c r="K771" s="1">
        <v>45538</v>
      </c>
      <c r="L771" s="11">
        <v>45540</v>
      </c>
      <c r="M771">
        <f>DATEDIF(Table1_1[[#This Row],[Order Date]],Table1_1[[#This Row],[Ship Date]],"D")</f>
        <v>2</v>
      </c>
    </row>
    <row r="772" spans="1:13" x14ac:dyDescent="0.35">
      <c r="A772" t="s">
        <v>1165</v>
      </c>
      <c r="B772" t="s">
        <v>1166</v>
      </c>
      <c r="C772" t="s">
        <v>448</v>
      </c>
      <c r="D772" s="2">
        <v>1651.28</v>
      </c>
      <c r="E772">
        <v>2</v>
      </c>
      <c r="F772">
        <v>0.1</v>
      </c>
      <c r="G772" t="s">
        <v>39</v>
      </c>
      <c r="H772" t="s">
        <v>21</v>
      </c>
      <c r="I772" t="s">
        <v>20</v>
      </c>
      <c r="J772" s="2">
        <f>Table1_1[[#This Row],[Sales]]-Table1_1[[#This Row],[Sales]]*Table1_1[[#This Row],[Discount]]</f>
        <v>1486.152</v>
      </c>
      <c r="K772" s="1">
        <v>44979</v>
      </c>
      <c r="L772" s="11">
        <v>44980</v>
      </c>
      <c r="M772">
        <f>DATEDIF(Table1_1[[#This Row],[Order Date]],Table1_1[[#This Row],[Ship Date]],"D")</f>
        <v>1</v>
      </c>
    </row>
    <row r="773" spans="1:13" x14ac:dyDescent="0.35">
      <c r="A773" t="s">
        <v>1167</v>
      </c>
      <c r="B773" t="s">
        <v>664</v>
      </c>
      <c r="C773" t="s">
        <v>157</v>
      </c>
      <c r="D773" s="2">
        <v>3191.83</v>
      </c>
      <c r="E773">
        <v>1</v>
      </c>
      <c r="F773">
        <v>0.2</v>
      </c>
      <c r="G773" t="s">
        <v>39</v>
      </c>
      <c r="H773" t="s">
        <v>15</v>
      </c>
      <c r="I773" t="s">
        <v>20</v>
      </c>
      <c r="J773" s="2">
        <f>Table1_1[[#This Row],[Sales]]-Table1_1[[#This Row],[Sales]]*Table1_1[[#This Row],[Discount]]</f>
        <v>2553.4639999999999</v>
      </c>
      <c r="K773" s="1">
        <v>44969</v>
      </c>
      <c r="L773" s="11">
        <v>44973</v>
      </c>
      <c r="M773">
        <f>DATEDIF(Table1_1[[#This Row],[Order Date]],Table1_1[[#This Row],[Ship Date]],"D")</f>
        <v>4</v>
      </c>
    </row>
    <row r="774" spans="1:13" x14ac:dyDescent="0.35">
      <c r="A774" t="s">
        <v>1168</v>
      </c>
      <c r="B774" t="s">
        <v>349</v>
      </c>
      <c r="C774" t="s">
        <v>436</v>
      </c>
      <c r="D774" s="2">
        <v>2024.14</v>
      </c>
      <c r="E774">
        <v>10</v>
      </c>
      <c r="F774">
        <v>0</v>
      </c>
      <c r="G774" t="s">
        <v>39</v>
      </c>
      <c r="H774" t="s">
        <v>21</v>
      </c>
      <c r="I774" t="s">
        <v>43</v>
      </c>
      <c r="J774" s="2">
        <f>Table1_1[[#This Row],[Sales]]-Table1_1[[#This Row],[Sales]]*Table1_1[[#This Row],[Discount]]</f>
        <v>2024.14</v>
      </c>
      <c r="K774" s="1">
        <v>44946</v>
      </c>
      <c r="L774" s="11">
        <v>44948</v>
      </c>
      <c r="M774">
        <f>DATEDIF(Table1_1[[#This Row],[Order Date]],Table1_1[[#This Row],[Ship Date]],"D")</f>
        <v>2</v>
      </c>
    </row>
    <row r="775" spans="1:13" x14ac:dyDescent="0.35">
      <c r="A775" t="s">
        <v>1169</v>
      </c>
      <c r="B775" t="s">
        <v>541</v>
      </c>
      <c r="C775" t="s">
        <v>359</v>
      </c>
      <c r="D775" s="2">
        <v>4789.0200000000004</v>
      </c>
      <c r="E775">
        <v>8</v>
      </c>
      <c r="F775">
        <v>0.2</v>
      </c>
      <c r="G775" t="s">
        <v>14</v>
      </c>
      <c r="H775" t="s">
        <v>15</v>
      </c>
      <c r="I775" t="s">
        <v>20</v>
      </c>
      <c r="J775" s="2">
        <f>Table1_1[[#This Row],[Sales]]-Table1_1[[#This Row],[Sales]]*Table1_1[[#This Row],[Discount]]</f>
        <v>3831.2160000000003</v>
      </c>
      <c r="K775" s="1">
        <v>45803</v>
      </c>
      <c r="L775" s="11">
        <v>45804</v>
      </c>
      <c r="M775">
        <f>DATEDIF(Table1_1[[#This Row],[Order Date]],Table1_1[[#This Row],[Ship Date]],"D")</f>
        <v>1</v>
      </c>
    </row>
    <row r="776" spans="1:13" x14ac:dyDescent="0.35">
      <c r="A776" t="s">
        <v>1170</v>
      </c>
      <c r="B776" t="s">
        <v>570</v>
      </c>
      <c r="C776" t="s">
        <v>285</v>
      </c>
      <c r="D776" s="2">
        <v>3975.61</v>
      </c>
      <c r="E776">
        <v>10</v>
      </c>
      <c r="F776">
        <v>0</v>
      </c>
      <c r="G776" t="s">
        <v>39</v>
      </c>
      <c r="H776" t="s">
        <v>21</v>
      </c>
      <c r="I776" t="s">
        <v>20</v>
      </c>
      <c r="J776" s="2">
        <f>Table1_1[[#This Row],[Sales]]-Table1_1[[#This Row],[Sales]]*Table1_1[[#This Row],[Discount]]</f>
        <v>3975.61</v>
      </c>
      <c r="K776" s="1">
        <v>45143</v>
      </c>
      <c r="L776" s="11">
        <v>45148</v>
      </c>
      <c r="M776">
        <f>DATEDIF(Table1_1[[#This Row],[Order Date]],Table1_1[[#This Row],[Ship Date]],"D")</f>
        <v>5</v>
      </c>
    </row>
    <row r="777" spans="1:13" x14ac:dyDescent="0.35">
      <c r="A777" t="s">
        <v>1171</v>
      </c>
      <c r="B777" t="s">
        <v>949</v>
      </c>
      <c r="C777" t="s">
        <v>223</v>
      </c>
      <c r="D777" s="2">
        <v>1852</v>
      </c>
      <c r="E777">
        <v>3</v>
      </c>
      <c r="F777">
        <v>0.3</v>
      </c>
      <c r="G777" t="s">
        <v>14</v>
      </c>
      <c r="H777" t="s">
        <v>21</v>
      </c>
      <c r="I777" t="s">
        <v>20</v>
      </c>
      <c r="J777" s="2">
        <f>Table1_1[[#This Row],[Sales]]-Table1_1[[#This Row],[Sales]]*Table1_1[[#This Row],[Discount]]</f>
        <v>1296.4000000000001</v>
      </c>
      <c r="K777" s="1">
        <v>45804</v>
      </c>
      <c r="L777" s="11">
        <v>45809</v>
      </c>
      <c r="M777">
        <f>DATEDIF(Table1_1[[#This Row],[Order Date]],Table1_1[[#This Row],[Ship Date]],"D")</f>
        <v>5</v>
      </c>
    </row>
    <row r="778" spans="1:13" x14ac:dyDescent="0.35">
      <c r="A778" t="s">
        <v>1172</v>
      </c>
      <c r="B778" t="s">
        <v>445</v>
      </c>
      <c r="C778" t="s">
        <v>229</v>
      </c>
      <c r="D778" s="2">
        <v>2963.62</v>
      </c>
      <c r="E778">
        <v>2</v>
      </c>
      <c r="F778">
        <v>0.2</v>
      </c>
      <c r="G778" t="s">
        <v>19</v>
      </c>
      <c r="H778" t="s">
        <v>21</v>
      </c>
      <c r="I778" t="s">
        <v>16</v>
      </c>
      <c r="J778" s="2">
        <f>Table1_1[[#This Row],[Sales]]-Table1_1[[#This Row],[Sales]]*Table1_1[[#This Row],[Discount]]</f>
        <v>2370.8959999999997</v>
      </c>
      <c r="K778" s="1">
        <v>45357</v>
      </c>
      <c r="L778" s="11">
        <v>45361</v>
      </c>
      <c r="M778">
        <f>DATEDIF(Table1_1[[#This Row],[Order Date]],Table1_1[[#This Row],[Ship Date]],"D")</f>
        <v>4</v>
      </c>
    </row>
    <row r="779" spans="1:13" x14ac:dyDescent="0.35">
      <c r="A779" t="s">
        <v>1173</v>
      </c>
      <c r="B779" t="s">
        <v>365</v>
      </c>
      <c r="C779" t="s">
        <v>487</v>
      </c>
      <c r="D779" s="2">
        <v>1723.27</v>
      </c>
      <c r="E779">
        <v>8</v>
      </c>
      <c r="F779">
        <v>0</v>
      </c>
      <c r="G779" t="s">
        <v>39</v>
      </c>
      <c r="H779" t="s">
        <v>15</v>
      </c>
      <c r="I779" t="s">
        <v>16</v>
      </c>
      <c r="J779" s="2">
        <f>Table1_1[[#This Row],[Sales]]-Table1_1[[#This Row],[Sales]]*Table1_1[[#This Row],[Discount]]</f>
        <v>1723.27</v>
      </c>
      <c r="K779" s="1">
        <v>45810</v>
      </c>
      <c r="L779" s="11">
        <v>45813</v>
      </c>
      <c r="M779">
        <f>DATEDIF(Table1_1[[#This Row],[Order Date]],Table1_1[[#This Row],[Ship Date]],"D")</f>
        <v>3</v>
      </c>
    </row>
    <row r="780" spans="1:13" x14ac:dyDescent="0.35">
      <c r="A780" t="s">
        <v>1174</v>
      </c>
      <c r="B780" t="s">
        <v>933</v>
      </c>
      <c r="C780" t="s">
        <v>354</v>
      </c>
      <c r="D780" s="2">
        <v>2276.14</v>
      </c>
      <c r="E780">
        <v>6</v>
      </c>
      <c r="F780">
        <v>0.3</v>
      </c>
      <c r="G780" t="s">
        <v>39</v>
      </c>
      <c r="H780" t="s">
        <v>15</v>
      </c>
      <c r="I780" t="s">
        <v>16</v>
      </c>
      <c r="J780" s="2">
        <f>Table1_1[[#This Row],[Sales]]-Table1_1[[#This Row],[Sales]]*Table1_1[[#This Row],[Discount]]</f>
        <v>1593.2979999999998</v>
      </c>
      <c r="K780" s="1">
        <v>45185</v>
      </c>
      <c r="L780" s="11">
        <v>45190</v>
      </c>
      <c r="M780">
        <f>DATEDIF(Table1_1[[#This Row],[Order Date]],Table1_1[[#This Row],[Ship Date]],"D")</f>
        <v>5</v>
      </c>
    </row>
    <row r="781" spans="1:13" x14ac:dyDescent="0.35">
      <c r="A781" t="s">
        <v>1175</v>
      </c>
      <c r="B781" t="s">
        <v>1069</v>
      </c>
      <c r="C781" t="s">
        <v>278</v>
      </c>
      <c r="D781" s="2">
        <v>4461.03</v>
      </c>
      <c r="E781">
        <v>2</v>
      </c>
      <c r="F781">
        <v>0.1</v>
      </c>
      <c r="G781" t="s">
        <v>14</v>
      </c>
      <c r="H781" t="s">
        <v>21</v>
      </c>
      <c r="I781" t="s">
        <v>16</v>
      </c>
      <c r="J781" s="2">
        <f>Table1_1[[#This Row],[Sales]]-Table1_1[[#This Row],[Sales]]*Table1_1[[#This Row],[Discount]]</f>
        <v>4014.9269999999997</v>
      </c>
      <c r="K781" s="1">
        <v>45274</v>
      </c>
      <c r="L781" s="11">
        <v>45276</v>
      </c>
      <c r="M781">
        <f>DATEDIF(Table1_1[[#This Row],[Order Date]],Table1_1[[#This Row],[Ship Date]],"D")</f>
        <v>2</v>
      </c>
    </row>
    <row r="782" spans="1:13" x14ac:dyDescent="0.35">
      <c r="A782" t="s">
        <v>1176</v>
      </c>
      <c r="B782" t="s">
        <v>12</v>
      </c>
      <c r="C782" t="s">
        <v>190</v>
      </c>
      <c r="D782" s="2">
        <v>1019.78</v>
      </c>
      <c r="E782">
        <v>1</v>
      </c>
      <c r="F782">
        <v>0</v>
      </c>
      <c r="G782" t="s">
        <v>39</v>
      </c>
      <c r="H782" t="s">
        <v>21</v>
      </c>
      <c r="I782" t="s">
        <v>43</v>
      </c>
      <c r="J782" s="2">
        <f>Table1_1[[#This Row],[Sales]]-Table1_1[[#This Row],[Sales]]*Table1_1[[#This Row],[Discount]]</f>
        <v>1019.78</v>
      </c>
      <c r="K782" s="1">
        <v>45313</v>
      </c>
      <c r="L782" s="11">
        <v>45314</v>
      </c>
      <c r="M782">
        <f>DATEDIF(Table1_1[[#This Row],[Order Date]],Table1_1[[#This Row],[Ship Date]],"D")</f>
        <v>1</v>
      </c>
    </row>
    <row r="783" spans="1:13" x14ac:dyDescent="0.35">
      <c r="A783" t="s">
        <v>1177</v>
      </c>
      <c r="B783" t="s">
        <v>1178</v>
      </c>
      <c r="C783" t="s">
        <v>190</v>
      </c>
      <c r="D783" s="2">
        <v>4522.83</v>
      </c>
      <c r="E783">
        <v>7</v>
      </c>
      <c r="F783">
        <v>0.2</v>
      </c>
      <c r="G783" t="s">
        <v>14</v>
      </c>
      <c r="H783" t="s">
        <v>21</v>
      </c>
      <c r="I783" t="s">
        <v>16</v>
      </c>
      <c r="J783" s="2">
        <f>Table1_1[[#This Row],[Sales]]-Table1_1[[#This Row],[Sales]]*Table1_1[[#This Row],[Discount]]</f>
        <v>3618.2640000000001</v>
      </c>
      <c r="K783" s="1">
        <v>45347</v>
      </c>
      <c r="L783" s="11">
        <v>45351</v>
      </c>
      <c r="M783">
        <f>DATEDIF(Table1_1[[#This Row],[Order Date]],Table1_1[[#This Row],[Ship Date]],"D")</f>
        <v>4</v>
      </c>
    </row>
    <row r="784" spans="1:13" x14ac:dyDescent="0.35">
      <c r="A784" t="s">
        <v>1179</v>
      </c>
      <c r="B784" t="s">
        <v>275</v>
      </c>
      <c r="C784" t="s">
        <v>273</v>
      </c>
      <c r="D784" s="2">
        <v>1603.35</v>
      </c>
      <c r="E784">
        <v>5</v>
      </c>
      <c r="F784">
        <v>0.3</v>
      </c>
      <c r="G784" t="s">
        <v>14</v>
      </c>
      <c r="H784" t="s">
        <v>15</v>
      </c>
      <c r="I784" t="s">
        <v>16</v>
      </c>
      <c r="J784" s="2">
        <f>Table1_1[[#This Row],[Sales]]-Table1_1[[#This Row],[Sales]]*Table1_1[[#This Row],[Discount]]</f>
        <v>1122.345</v>
      </c>
      <c r="K784" s="1">
        <v>45812</v>
      </c>
      <c r="L784" s="11">
        <v>45814</v>
      </c>
      <c r="M784">
        <f>DATEDIF(Table1_1[[#This Row],[Order Date]],Table1_1[[#This Row],[Ship Date]],"D")</f>
        <v>2</v>
      </c>
    </row>
    <row r="785" spans="1:13" x14ac:dyDescent="0.35">
      <c r="A785" t="s">
        <v>1180</v>
      </c>
      <c r="B785" t="s">
        <v>142</v>
      </c>
      <c r="C785" t="s">
        <v>254</v>
      </c>
      <c r="D785" s="2">
        <v>4322.78</v>
      </c>
      <c r="E785">
        <v>7</v>
      </c>
      <c r="F785">
        <v>0.1</v>
      </c>
      <c r="G785" t="s">
        <v>19</v>
      </c>
      <c r="H785" t="s">
        <v>15</v>
      </c>
      <c r="I785" t="s">
        <v>43</v>
      </c>
      <c r="J785" s="2">
        <f>Table1_1[[#This Row],[Sales]]-Table1_1[[#This Row],[Sales]]*Table1_1[[#This Row],[Discount]]</f>
        <v>3890.5019999999995</v>
      </c>
      <c r="K785" s="1">
        <v>45292</v>
      </c>
      <c r="L785" s="11">
        <v>45295</v>
      </c>
      <c r="M785">
        <f>DATEDIF(Table1_1[[#This Row],[Order Date]],Table1_1[[#This Row],[Ship Date]],"D")</f>
        <v>3</v>
      </c>
    </row>
    <row r="786" spans="1:13" x14ac:dyDescent="0.35">
      <c r="A786" t="s">
        <v>1181</v>
      </c>
      <c r="B786" t="s">
        <v>466</v>
      </c>
      <c r="C786" t="s">
        <v>178</v>
      </c>
      <c r="D786" s="2">
        <v>4037.08</v>
      </c>
      <c r="E786">
        <v>1</v>
      </c>
      <c r="F786">
        <v>0.3</v>
      </c>
      <c r="G786" t="s">
        <v>14</v>
      </c>
      <c r="H786" t="s">
        <v>15</v>
      </c>
      <c r="I786" t="s">
        <v>16</v>
      </c>
      <c r="J786" s="2">
        <f>Table1_1[[#This Row],[Sales]]-Table1_1[[#This Row],[Sales]]*Table1_1[[#This Row],[Discount]]</f>
        <v>2825.9560000000001</v>
      </c>
      <c r="K786" s="1">
        <v>45372</v>
      </c>
      <c r="L786" s="11">
        <v>45377</v>
      </c>
      <c r="M786">
        <f>DATEDIF(Table1_1[[#This Row],[Order Date]],Table1_1[[#This Row],[Ship Date]],"D")</f>
        <v>5</v>
      </c>
    </row>
    <row r="787" spans="1:13" x14ac:dyDescent="0.35">
      <c r="A787" t="s">
        <v>1182</v>
      </c>
      <c r="B787" t="s">
        <v>1042</v>
      </c>
      <c r="C787" t="s">
        <v>388</v>
      </c>
      <c r="D787" s="2">
        <v>4244.34</v>
      </c>
      <c r="E787">
        <v>4</v>
      </c>
      <c r="F787">
        <v>0</v>
      </c>
      <c r="G787" t="s">
        <v>14</v>
      </c>
      <c r="H787" t="s">
        <v>15</v>
      </c>
      <c r="I787" t="s">
        <v>16</v>
      </c>
      <c r="J787" s="2">
        <f>Table1_1[[#This Row],[Sales]]-Table1_1[[#This Row],[Sales]]*Table1_1[[#This Row],[Discount]]</f>
        <v>4244.34</v>
      </c>
      <c r="K787" s="1">
        <v>45432</v>
      </c>
      <c r="L787" s="11">
        <v>45437</v>
      </c>
      <c r="M787">
        <f>DATEDIF(Table1_1[[#This Row],[Order Date]],Table1_1[[#This Row],[Ship Date]],"D")</f>
        <v>5</v>
      </c>
    </row>
    <row r="788" spans="1:13" x14ac:dyDescent="0.35">
      <c r="A788" t="s">
        <v>1183</v>
      </c>
      <c r="B788" t="s">
        <v>213</v>
      </c>
      <c r="C788" t="s">
        <v>318</v>
      </c>
      <c r="D788" s="2">
        <v>2157.8200000000002</v>
      </c>
      <c r="E788">
        <v>7</v>
      </c>
      <c r="F788">
        <v>0.1</v>
      </c>
      <c r="G788" t="s">
        <v>14</v>
      </c>
      <c r="H788" t="s">
        <v>21</v>
      </c>
      <c r="I788" t="s">
        <v>20</v>
      </c>
      <c r="J788" s="2">
        <f>Table1_1[[#This Row],[Sales]]-Table1_1[[#This Row],[Sales]]*Table1_1[[#This Row],[Discount]]</f>
        <v>1942.038</v>
      </c>
      <c r="K788" s="1">
        <v>45567</v>
      </c>
      <c r="L788" s="11">
        <v>45571</v>
      </c>
      <c r="M788">
        <f>DATEDIF(Table1_1[[#This Row],[Order Date]],Table1_1[[#This Row],[Ship Date]],"D")</f>
        <v>4</v>
      </c>
    </row>
    <row r="789" spans="1:13" x14ac:dyDescent="0.35">
      <c r="A789" t="s">
        <v>1184</v>
      </c>
      <c r="B789" t="s">
        <v>520</v>
      </c>
      <c r="C789" t="s">
        <v>240</v>
      </c>
      <c r="D789" s="2">
        <v>4902.92</v>
      </c>
      <c r="E789">
        <v>6</v>
      </c>
      <c r="F789">
        <v>0.3</v>
      </c>
      <c r="G789" t="s">
        <v>14</v>
      </c>
      <c r="H789" t="s">
        <v>15</v>
      </c>
      <c r="I789" t="s">
        <v>43</v>
      </c>
      <c r="J789" s="2">
        <f>Table1_1[[#This Row],[Sales]]-Table1_1[[#This Row],[Sales]]*Table1_1[[#This Row],[Discount]]</f>
        <v>3432.0439999999999</v>
      </c>
      <c r="K789" s="1">
        <v>45660</v>
      </c>
      <c r="L789" s="11">
        <v>45666</v>
      </c>
      <c r="M789">
        <f>DATEDIF(Table1_1[[#This Row],[Order Date]],Table1_1[[#This Row],[Ship Date]],"D")</f>
        <v>6</v>
      </c>
    </row>
    <row r="790" spans="1:13" x14ac:dyDescent="0.35">
      <c r="A790" t="s">
        <v>1185</v>
      </c>
      <c r="B790" t="s">
        <v>639</v>
      </c>
      <c r="C790" t="s">
        <v>234</v>
      </c>
      <c r="D790" s="2">
        <v>374.4</v>
      </c>
      <c r="E790">
        <v>10</v>
      </c>
      <c r="F790">
        <v>0.1</v>
      </c>
      <c r="G790" t="s">
        <v>14</v>
      </c>
      <c r="H790" t="s">
        <v>15</v>
      </c>
      <c r="I790" t="s">
        <v>43</v>
      </c>
      <c r="J790" s="2">
        <f>Table1_1[[#This Row],[Sales]]-Table1_1[[#This Row],[Sales]]*Table1_1[[#This Row],[Discount]]</f>
        <v>336.96</v>
      </c>
      <c r="K790" s="1">
        <v>44937</v>
      </c>
      <c r="L790" s="11">
        <v>44942</v>
      </c>
      <c r="M790">
        <f>DATEDIF(Table1_1[[#This Row],[Order Date]],Table1_1[[#This Row],[Ship Date]],"D")</f>
        <v>5</v>
      </c>
    </row>
    <row r="791" spans="1:13" x14ac:dyDescent="0.35">
      <c r="A791" t="s">
        <v>1186</v>
      </c>
      <c r="B791" t="s">
        <v>1042</v>
      </c>
      <c r="C791" t="s">
        <v>357</v>
      </c>
      <c r="D791" s="2">
        <v>1957.12</v>
      </c>
      <c r="E791">
        <v>6</v>
      </c>
      <c r="F791">
        <v>0.1</v>
      </c>
      <c r="G791" t="s">
        <v>39</v>
      </c>
      <c r="H791" t="s">
        <v>15</v>
      </c>
      <c r="I791" t="s">
        <v>20</v>
      </c>
      <c r="J791" s="2">
        <f>Table1_1[[#This Row],[Sales]]-Table1_1[[#This Row],[Sales]]*Table1_1[[#This Row],[Discount]]</f>
        <v>1761.4079999999999</v>
      </c>
      <c r="K791" s="1">
        <v>45142</v>
      </c>
      <c r="L791" s="11">
        <v>45144</v>
      </c>
      <c r="M791">
        <f>DATEDIF(Table1_1[[#This Row],[Order Date]],Table1_1[[#This Row],[Ship Date]],"D")</f>
        <v>2</v>
      </c>
    </row>
    <row r="792" spans="1:13" x14ac:dyDescent="0.35">
      <c r="A792" t="s">
        <v>1187</v>
      </c>
      <c r="B792" t="s">
        <v>349</v>
      </c>
      <c r="C792" t="s">
        <v>178</v>
      </c>
      <c r="D792" s="2">
        <v>2177.02</v>
      </c>
      <c r="E792">
        <v>5</v>
      </c>
      <c r="F792">
        <v>0.1</v>
      </c>
      <c r="G792" t="s">
        <v>14</v>
      </c>
      <c r="H792" t="s">
        <v>21</v>
      </c>
      <c r="I792" t="s">
        <v>43</v>
      </c>
      <c r="J792" s="2">
        <f>Table1_1[[#This Row],[Sales]]-Table1_1[[#This Row],[Sales]]*Table1_1[[#This Row],[Discount]]</f>
        <v>1959.318</v>
      </c>
      <c r="K792" s="1">
        <v>45248</v>
      </c>
      <c r="L792" s="11">
        <v>45255</v>
      </c>
      <c r="M792">
        <f>DATEDIF(Table1_1[[#This Row],[Order Date]],Table1_1[[#This Row],[Ship Date]],"D")</f>
        <v>7</v>
      </c>
    </row>
    <row r="793" spans="1:13" x14ac:dyDescent="0.35">
      <c r="A793" t="s">
        <v>1188</v>
      </c>
      <c r="B793" t="s">
        <v>431</v>
      </c>
      <c r="C793" t="s">
        <v>42</v>
      </c>
      <c r="D793" s="2">
        <v>2911.4</v>
      </c>
      <c r="E793">
        <v>3</v>
      </c>
      <c r="F793">
        <v>0</v>
      </c>
      <c r="G793" t="s">
        <v>19</v>
      </c>
      <c r="H793" t="s">
        <v>15</v>
      </c>
      <c r="I793" t="s">
        <v>43</v>
      </c>
      <c r="J793" s="2">
        <f>Table1_1[[#This Row],[Sales]]-Table1_1[[#This Row],[Sales]]*Table1_1[[#This Row],[Discount]]</f>
        <v>2911.4</v>
      </c>
      <c r="K793" s="1">
        <v>45320</v>
      </c>
      <c r="L793" s="11">
        <v>45321</v>
      </c>
      <c r="M793">
        <f>DATEDIF(Table1_1[[#This Row],[Order Date]],Table1_1[[#This Row],[Ship Date]],"D")</f>
        <v>1</v>
      </c>
    </row>
    <row r="794" spans="1:13" x14ac:dyDescent="0.35">
      <c r="A794" t="s">
        <v>1189</v>
      </c>
      <c r="B794" t="s">
        <v>365</v>
      </c>
      <c r="C794" t="s">
        <v>624</v>
      </c>
      <c r="D794" s="2">
        <v>335.99</v>
      </c>
      <c r="E794">
        <v>9</v>
      </c>
      <c r="F794">
        <v>0.3</v>
      </c>
      <c r="G794" t="s">
        <v>14</v>
      </c>
      <c r="H794" t="s">
        <v>21</v>
      </c>
      <c r="I794" t="s">
        <v>43</v>
      </c>
      <c r="J794" s="2">
        <f>Table1_1[[#This Row],[Sales]]-Table1_1[[#This Row],[Sales]]*Table1_1[[#This Row],[Discount]]</f>
        <v>235.19300000000001</v>
      </c>
      <c r="K794" s="1">
        <v>44991</v>
      </c>
      <c r="L794" s="11">
        <v>44996</v>
      </c>
      <c r="M794">
        <f>DATEDIF(Table1_1[[#This Row],[Order Date]],Table1_1[[#This Row],[Ship Date]],"D")</f>
        <v>5</v>
      </c>
    </row>
    <row r="795" spans="1:13" x14ac:dyDescent="0.35">
      <c r="A795" t="s">
        <v>1190</v>
      </c>
      <c r="B795" t="s">
        <v>508</v>
      </c>
      <c r="C795" t="s">
        <v>82</v>
      </c>
      <c r="D795" s="2">
        <v>3427.06</v>
      </c>
      <c r="E795">
        <v>7</v>
      </c>
      <c r="F795">
        <v>0.2</v>
      </c>
      <c r="G795" t="s">
        <v>19</v>
      </c>
      <c r="H795" t="s">
        <v>15</v>
      </c>
      <c r="I795" t="s">
        <v>43</v>
      </c>
      <c r="J795" s="2">
        <f>Table1_1[[#This Row],[Sales]]-Table1_1[[#This Row],[Sales]]*Table1_1[[#This Row],[Discount]]</f>
        <v>2741.6480000000001</v>
      </c>
      <c r="K795" s="1">
        <v>45165</v>
      </c>
      <c r="L795" s="11">
        <v>45168</v>
      </c>
      <c r="M795">
        <f>DATEDIF(Table1_1[[#This Row],[Order Date]],Table1_1[[#This Row],[Ship Date]],"D")</f>
        <v>3</v>
      </c>
    </row>
    <row r="796" spans="1:13" x14ac:dyDescent="0.35">
      <c r="A796" t="s">
        <v>1191</v>
      </c>
      <c r="B796" t="s">
        <v>575</v>
      </c>
      <c r="C796" t="s">
        <v>293</v>
      </c>
      <c r="D796" s="2">
        <v>1607.77</v>
      </c>
      <c r="E796">
        <v>2</v>
      </c>
      <c r="F796">
        <v>0.1</v>
      </c>
      <c r="G796" t="s">
        <v>14</v>
      </c>
      <c r="H796" t="s">
        <v>21</v>
      </c>
      <c r="I796" t="s">
        <v>20</v>
      </c>
      <c r="J796" s="2">
        <f>Table1_1[[#This Row],[Sales]]-Table1_1[[#This Row],[Sales]]*Table1_1[[#This Row],[Discount]]</f>
        <v>1446.9929999999999</v>
      </c>
      <c r="K796" s="1">
        <v>45648</v>
      </c>
      <c r="L796" s="11">
        <v>45654</v>
      </c>
      <c r="M796">
        <f>DATEDIF(Table1_1[[#This Row],[Order Date]],Table1_1[[#This Row],[Ship Date]],"D")</f>
        <v>6</v>
      </c>
    </row>
    <row r="797" spans="1:13" x14ac:dyDescent="0.35">
      <c r="A797" t="s">
        <v>1192</v>
      </c>
      <c r="B797" t="s">
        <v>201</v>
      </c>
      <c r="C797" t="s">
        <v>237</v>
      </c>
      <c r="D797" s="2">
        <v>3139.71</v>
      </c>
      <c r="E797">
        <v>6</v>
      </c>
      <c r="F797">
        <v>0.2</v>
      </c>
      <c r="G797" t="s">
        <v>14</v>
      </c>
      <c r="H797" t="s">
        <v>15</v>
      </c>
      <c r="I797" t="s">
        <v>43</v>
      </c>
      <c r="J797" s="2">
        <f>Table1_1[[#This Row],[Sales]]-Table1_1[[#This Row],[Sales]]*Table1_1[[#This Row],[Discount]]</f>
        <v>2511.768</v>
      </c>
      <c r="K797" s="1">
        <v>45486</v>
      </c>
      <c r="L797" s="11">
        <v>45491</v>
      </c>
      <c r="M797">
        <f>DATEDIF(Table1_1[[#This Row],[Order Date]],Table1_1[[#This Row],[Ship Date]],"D")</f>
        <v>5</v>
      </c>
    </row>
    <row r="798" spans="1:13" x14ac:dyDescent="0.35">
      <c r="A798" t="s">
        <v>1193</v>
      </c>
      <c r="B798" t="s">
        <v>134</v>
      </c>
      <c r="C798" t="s">
        <v>237</v>
      </c>
      <c r="D798" s="2">
        <v>3002.55</v>
      </c>
      <c r="E798">
        <v>8</v>
      </c>
      <c r="F798">
        <v>0.1</v>
      </c>
      <c r="G798" t="s">
        <v>14</v>
      </c>
      <c r="H798" t="s">
        <v>15</v>
      </c>
      <c r="I798" t="s">
        <v>16</v>
      </c>
      <c r="J798" s="2">
        <f>Table1_1[[#This Row],[Sales]]-Table1_1[[#This Row],[Sales]]*Table1_1[[#This Row],[Discount]]</f>
        <v>2702.2950000000001</v>
      </c>
      <c r="K798" s="1">
        <v>45311</v>
      </c>
      <c r="L798" s="11">
        <v>45315</v>
      </c>
      <c r="M798">
        <f>DATEDIF(Table1_1[[#This Row],[Order Date]],Table1_1[[#This Row],[Ship Date]],"D")</f>
        <v>4</v>
      </c>
    </row>
    <row r="799" spans="1:13" x14ac:dyDescent="0.35">
      <c r="A799" t="s">
        <v>1194</v>
      </c>
      <c r="B799" t="s">
        <v>1034</v>
      </c>
      <c r="C799" t="s">
        <v>243</v>
      </c>
      <c r="D799" s="2">
        <v>3782.02</v>
      </c>
      <c r="E799">
        <v>4</v>
      </c>
      <c r="F799">
        <v>0</v>
      </c>
      <c r="G799" t="s">
        <v>19</v>
      </c>
      <c r="H799" t="s">
        <v>15</v>
      </c>
      <c r="I799" t="s">
        <v>20</v>
      </c>
      <c r="J799" s="2">
        <f>Table1_1[[#This Row],[Sales]]-Table1_1[[#This Row],[Sales]]*Table1_1[[#This Row],[Discount]]</f>
        <v>3782.02</v>
      </c>
      <c r="K799" s="1">
        <v>45525</v>
      </c>
      <c r="L799" s="11">
        <v>45531</v>
      </c>
      <c r="M799">
        <f>DATEDIF(Table1_1[[#This Row],[Order Date]],Table1_1[[#This Row],[Ship Date]],"D")</f>
        <v>6</v>
      </c>
    </row>
    <row r="800" spans="1:13" x14ac:dyDescent="0.35">
      <c r="A800" t="s">
        <v>1195</v>
      </c>
      <c r="B800" t="s">
        <v>721</v>
      </c>
      <c r="C800" t="s">
        <v>458</v>
      </c>
      <c r="D800" s="2">
        <v>2632.73</v>
      </c>
      <c r="E800">
        <v>10</v>
      </c>
      <c r="F800">
        <v>0.3</v>
      </c>
      <c r="G800" t="s">
        <v>14</v>
      </c>
      <c r="H800" t="s">
        <v>21</v>
      </c>
      <c r="I800" t="s">
        <v>16</v>
      </c>
      <c r="J800" s="2">
        <f>Table1_1[[#This Row],[Sales]]-Table1_1[[#This Row],[Sales]]*Table1_1[[#This Row],[Discount]]</f>
        <v>1842.9110000000001</v>
      </c>
      <c r="K800" s="1">
        <v>44979</v>
      </c>
      <c r="L800" s="11">
        <v>44982</v>
      </c>
      <c r="M800">
        <f>DATEDIF(Table1_1[[#This Row],[Order Date]],Table1_1[[#This Row],[Ship Date]],"D")</f>
        <v>3</v>
      </c>
    </row>
    <row r="801" spans="1:13" x14ac:dyDescent="0.35">
      <c r="A801" t="s">
        <v>1196</v>
      </c>
      <c r="B801" t="s">
        <v>137</v>
      </c>
      <c r="C801" t="s">
        <v>511</v>
      </c>
      <c r="D801" s="2">
        <v>1883.88</v>
      </c>
      <c r="E801">
        <v>9</v>
      </c>
      <c r="F801">
        <v>0.2</v>
      </c>
      <c r="G801" t="s">
        <v>39</v>
      </c>
      <c r="H801" t="s">
        <v>21</v>
      </c>
      <c r="I801" t="s">
        <v>43</v>
      </c>
      <c r="J801" s="2">
        <f>Table1_1[[#This Row],[Sales]]-Table1_1[[#This Row],[Sales]]*Table1_1[[#This Row],[Discount]]</f>
        <v>1507.104</v>
      </c>
      <c r="K801" s="1">
        <v>45480</v>
      </c>
      <c r="L801" s="11">
        <v>45486</v>
      </c>
      <c r="M801">
        <f>DATEDIF(Table1_1[[#This Row],[Order Date]],Table1_1[[#This Row],[Ship Date]],"D")</f>
        <v>6</v>
      </c>
    </row>
    <row r="802" spans="1:13" x14ac:dyDescent="0.35">
      <c r="A802" t="s">
        <v>1197</v>
      </c>
      <c r="B802" t="s">
        <v>964</v>
      </c>
      <c r="C802" t="s">
        <v>148</v>
      </c>
      <c r="D802" s="2">
        <v>4182.5200000000004</v>
      </c>
      <c r="E802">
        <v>5</v>
      </c>
      <c r="F802">
        <v>0</v>
      </c>
      <c r="G802" t="s">
        <v>14</v>
      </c>
      <c r="H802" t="s">
        <v>21</v>
      </c>
      <c r="I802" t="s">
        <v>20</v>
      </c>
      <c r="J802" s="2">
        <f>Table1_1[[#This Row],[Sales]]-Table1_1[[#This Row],[Sales]]*Table1_1[[#This Row],[Discount]]</f>
        <v>4182.5200000000004</v>
      </c>
      <c r="K802" s="1">
        <v>45500</v>
      </c>
      <c r="L802" s="11">
        <v>45505</v>
      </c>
      <c r="M802">
        <f>DATEDIF(Table1_1[[#This Row],[Order Date]],Table1_1[[#This Row],[Ship Date]],"D")</f>
        <v>5</v>
      </c>
    </row>
    <row r="803" spans="1:13" x14ac:dyDescent="0.35">
      <c r="A803" t="s">
        <v>1198</v>
      </c>
      <c r="B803" t="s">
        <v>41</v>
      </c>
      <c r="C803" t="s">
        <v>436</v>
      </c>
      <c r="D803" s="2">
        <v>4343.9799999999996</v>
      </c>
      <c r="E803">
        <v>1</v>
      </c>
      <c r="F803">
        <v>0.3</v>
      </c>
      <c r="G803" t="s">
        <v>19</v>
      </c>
      <c r="H803" t="s">
        <v>21</v>
      </c>
      <c r="I803" t="s">
        <v>16</v>
      </c>
      <c r="J803" s="2">
        <f>Table1_1[[#This Row],[Sales]]-Table1_1[[#This Row],[Sales]]*Table1_1[[#This Row],[Discount]]</f>
        <v>3040.7860000000001</v>
      </c>
      <c r="K803" s="1">
        <v>45358</v>
      </c>
      <c r="L803" s="11">
        <v>45361</v>
      </c>
      <c r="M803">
        <f>DATEDIF(Table1_1[[#This Row],[Order Date]],Table1_1[[#This Row],[Ship Date]],"D")</f>
        <v>3</v>
      </c>
    </row>
    <row r="804" spans="1:13" x14ac:dyDescent="0.35">
      <c r="A804" t="s">
        <v>1199</v>
      </c>
      <c r="B804" t="s">
        <v>173</v>
      </c>
      <c r="C804" t="s">
        <v>443</v>
      </c>
      <c r="D804" s="2">
        <v>564.9</v>
      </c>
      <c r="E804">
        <v>6</v>
      </c>
      <c r="F804">
        <v>0</v>
      </c>
      <c r="G804" t="s">
        <v>14</v>
      </c>
      <c r="H804" t="s">
        <v>15</v>
      </c>
      <c r="I804" t="s">
        <v>20</v>
      </c>
      <c r="J804" s="2">
        <f>Table1_1[[#This Row],[Sales]]-Table1_1[[#This Row],[Sales]]*Table1_1[[#This Row],[Discount]]</f>
        <v>564.9</v>
      </c>
      <c r="K804" s="1">
        <v>44965</v>
      </c>
      <c r="L804" s="11">
        <v>44967</v>
      </c>
      <c r="M804">
        <f>DATEDIF(Table1_1[[#This Row],[Order Date]],Table1_1[[#This Row],[Ship Date]],"D")</f>
        <v>2</v>
      </c>
    </row>
    <row r="805" spans="1:13" x14ac:dyDescent="0.35">
      <c r="A805" t="s">
        <v>1200</v>
      </c>
      <c r="B805" t="s">
        <v>1178</v>
      </c>
      <c r="C805" t="s">
        <v>318</v>
      </c>
      <c r="D805" s="2">
        <v>864.65</v>
      </c>
      <c r="E805">
        <v>9</v>
      </c>
      <c r="F805">
        <v>0.2</v>
      </c>
      <c r="G805" t="s">
        <v>14</v>
      </c>
      <c r="H805" t="s">
        <v>21</v>
      </c>
      <c r="I805" t="s">
        <v>20</v>
      </c>
      <c r="J805" s="2">
        <f>Table1_1[[#This Row],[Sales]]-Table1_1[[#This Row],[Sales]]*Table1_1[[#This Row],[Discount]]</f>
        <v>691.72</v>
      </c>
      <c r="K805" s="1">
        <v>45751</v>
      </c>
      <c r="L805" s="11">
        <v>45753</v>
      </c>
      <c r="M805">
        <f>DATEDIF(Table1_1[[#This Row],[Order Date]],Table1_1[[#This Row],[Ship Date]],"D")</f>
        <v>2</v>
      </c>
    </row>
    <row r="806" spans="1:13" x14ac:dyDescent="0.35">
      <c r="A806" t="s">
        <v>1201</v>
      </c>
      <c r="B806" t="s">
        <v>98</v>
      </c>
      <c r="C806" t="s">
        <v>357</v>
      </c>
      <c r="D806" s="2">
        <v>996.53</v>
      </c>
      <c r="E806">
        <v>3</v>
      </c>
      <c r="F806">
        <v>0.1</v>
      </c>
      <c r="G806" t="s">
        <v>14</v>
      </c>
      <c r="H806" t="s">
        <v>21</v>
      </c>
      <c r="I806" t="s">
        <v>20</v>
      </c>
      <c r="J806" s="2">
        <f>Table1_1[[#This Row],[Sales]]-Table1_1[[#This Row],[Sales]]*Table1_1[[#This Row],[Discount]]</f>
        <v>896.87699999999995</v>
      </c>
      <c r="K806" s="1">
        <v>45096</v>
      </c>
      <c r="L806" s="11">
        <v>45100</v>
      </c>
      <c r="M806">
        <f>DATEDIF(Table1_1[[#This Row],[Order Date]],Table1_1[[#This Row],[Ship Date]],"D")</f>
        <v>4</v>
      </c>
    </row>
    <row r="807" spans="1:13" x14ac:dyDescent="0.35">
      <c r="A807" t="s">
        <v>1202</v>
      </c>
      <c r="B807" t="s">
        <v>380</v>
      </c>
      <c r="C807" t="s">
        <v>595</v>
      </c>
      <c r="D807" s="2">
        <v>1479.32</v>
      </c>
      <c r="E807">
        <v>6</v>
      </c>
      <c r="F807">
        <v>0.2</v>
      </c>
      <c r="G807" t="s">
        <v>19</v>
      </c>
      <c r="H807" t="s">
        <v>15</v>
      </c>
      <c r="I807" t="s">
        <v>16</v>
      </c>
      <c r="J807" s="2">
        <f>Table1_1[[#This Row],[Sales]]-Table1_1[[#This Row],[Sales]]*Table1_1[[#This Row],[Discount]]</f>
        <v>1183.4559999999999</v>
      </c>
      <c r="K807" s="1">
        <v>45142</v>
      </c>
      <c r="L807" s="11">
        <v>45149</v>
      </c>
      <c r="M807">
        <f>DATEDIF(Table1_1[[#This Row],[Order Date]],Table1_1[[#This Row],[Ship Date]],"D")</f>
        <v>7</v>
      </c>
    </row>
    <row r="808" spans="1:13" x14ac:dyDescent="0.35">
      <c r="A808" t="s">
        <v>1203</v>
      </c>
      <c r="B808" t="s">
        <v>561</v>
      </c>
      <c r="C808" t="s">
        <v>34</v>
      </c>
      <c r="D808" s="2">
        <v>1568.12</v>
      </c>
      <c r="E808">
        <v>6</v>
      </c>
      <c r="F808">
        <v>0.1</v>
      </c>
      <c r="G808" t="s">
        <v>19</v>
      </c>
      <c r="H808" t="s">
        <v>15</v>
      </c>
      <c r="I808" t="s">
        <v>16</v>
      </c>
      <c r="J808" s="2">
        <f>Table1_1[[#This Row],[Sales]]-Table1_1[[#This Row],[Sales]]*Table1_1[[#This Row],[Discount]]</f>
        <v>1411.308</v>
      </c>
      <c r="K808" s="1">
        <v>45462</v>
      </c>
      <c r="L808" s="11">
        <v>45464</v>
      </c>
      <c r="M808">
        <f>DATEDIF(Table1_1[[#This Row],[Order Date]],Table1_1[[#This Row],[Ship Date]],"D")</f>
        <v>2</v>
      </c>
    </row>
    <row r="809" spans="1:13" x14ac:dyDescent="0.35">
      <c r="A809" t="s">
        <v>1204</v>
      </c>
      <c r="B809" t="s">
        <v>607</v>
      </c>
      <c r="C809" t="s">
        <v>13</v>
      </c>
      <c r="D809" s="2">
        <v>1298.93</v>
      </c>
      <c r="E809">
        <v>3</v>
      </c>
      <c r="F809">
        <v>0</v>
      </c>
      <c r="G809" t="s">
        <v>19</v>
      </c>
      <c r="H809" t="s">
        <v>21</v>
      </c>
      <c r="I809" t="s">
        <v>43</v>
      </c>
      <c r="J809" s="2">
        <f>Table1_1[[#This Row],[Sales]]-Table1_1[[#This Row],[Sales]]*Table1_1[[#This Row],[Discount]]</f>
        <v>1298.93</v>
      </c>
      <c r="K809" s="1">
        <v>45568</v>
      </c>
      <c r="L809" s="11">
        <v>45575</v>
      </c>
      <c r="M809">
        <f>DATEDIF(Table1_1[[#This Row],[Order Date]],Table1_1[[#This Row],[Ship Date]],"D")</f>
        <v>7</v>
      </c>
    </row>
    <row r="810" spans="1:13" x14ac:dyDescent="0.35">
      <c r="A810" t="s">
        <v>1205</v>
      </c>
      <c r="B810" t="s">
        <v>782</v>
      </c>
      <c r="C810" t="s">
        <v>911</v>
      </c>
      <c r="D810" s="2">
        <v>1284.4100000000001</v>
      </c>
      <c r="E810">
        <v>1</v>
      </c>
      <c r="F810">
        <v>0</v>
      </c>
      <c r="G810" t="s">
        <v>19</v>
      </c>
      <c r="H810" t="s">
        <v>15</v>
      </c>
      <c r="I810" t="s">
        <v>43</v>
      </c>
      <c r="J810" s="2">
        <f>Table1_1[[#This Row],[Sales]]-Table1_1[[#This Row],[Sales]]*Table1_1[[#This Row],[Discount]]</f>
        <v>1284.4100000000001</v>
      </c>
      <c r="K810" s="1">
        <v>45206</v>
      </c>
      <c r="L810" s="11">
        <v>45211</v>
      </c>
      <c r="M810">
        <f>DATEDIF(Table1_1[[#This Row],[Order Date]],Table1_1[[#This Row],[Ship Date]],"D")</f>
        <v>5</v>
      </c>
    </row>
    <row r="811" spans="1:13" x14ac:dyDescent="0.35">
      <c r="A811" t="s">
        <v>1206</v>
      </c>
      <c r="B811" t="s">
        <v>1154</v>
      </c>
      <c r="C811" t="s">
        <v>436</v>
      </c>
      <c r="D811" s="2">
        <v>3705.86</v>
      </c>
      <c r="E811">
        <v>7</v>
      </c>
      <c r="F811">
        <v>0</v>
      </c>
      <c r="G811" t="s">
        <v>14</v>
      </c>
      <c r="H811" t="s">
        <v>15</v>
      </c>
      <c r="I811" t="s">
        <v>43</v>
      </c>
      <c r="J811" s="2">
        <f>Table1_1[[#This Row],[Sales]]-Table1_1[[#This Row],[Sales]]*Table1_1[[#This Row],[Discount]]</f>
        <v>3705.86</v>
      </c>
      <c r="K811" s="1">
        <v>45434</v>
      </c>
      <c r="L811" s="11">
        <v>45441</v>
      </c>
      <c r="M811">
        <f>DATEDIF(Table1_1[[#This Row],[Order Date]],Table1_1[[#This Row],[Ship Date]],"D")</f>
        <v>7</v>
      </c>
    </row>
    <row r="812" spans="1:13" x14ac:dyDescent="0.35">
      <c r="A812" t="s">
        <v>1207</v>
      </c>
      <c r="B812" t="s">
        <v>632</v>
      </c>
      <c r="C812" t="s">
        <v>157</v>
      </c>
      <c r="D812" s="2">
        <v>4576.54</v>
      </c>
      <c r="E812">
        <v>3</v>
      </c>
      <c r="F812">
        <v>0.2</v>
      </c>
      <c r="G812" t="s">
        <v>39</v>
      </c>
      <c r="H812" t="s">
        <v>15</v>
      </c>
      <c r="I812" t="s">
        <v>43</v>
      </c>
      <c r="J812" s="2">
        <f>Table1_1[[#This Row],[Sales]]-Table1_1[[#This Row],[Sales]]*Table1_1[[#This Row],[Discount]]</f>
        <v>3661.232</v>
      </c>
      <c r="K812" s="1">
        <v>45704</v>
      </c>
      <c r="L812" s="11">
        <v>45707</v>
      </c>
      <c r="M812">
        <f>DATEDIF(Table1_1[[#This Row],[Order Date]],Table1_1[[#This Row],[Ship Date]],"D")</f>
        <v>3</v>
      </c>
    </row>
    <row r="813" spans="1:13" x14ac:dyDescent="0.35">
      <c r="A813" t="s">
        <v>1208</v>
      </c>
      <c r="B813" t="s">
        <v>245</v>
      </c>
      <c r="C813" t="s">
        <v>143</v>
      </c>
      <c r="D813" s="2">
        <v>2078.52</v>
      </c>
      <c r="E813">
        <v>4</v>
      </c>
      <c r="F813">
        <v>0.1</v>
      </c>
      <c r="G813" t="s">
        <v>14</v>
      </c>
      <c r="H813" t="s">
        <v>21</v>
      </c>
      <c r="I813" t="s">
        <v>43</v>
      </c>
      <c r="J813" s="2">
        <f>Table1_1[[#This Row],[Sales]]-Table1_1[[#This Row],[Sales]]*Table1_1[[#This Row],[Discount]]</f>
        <v>1870.6679999999999</v>
      </c>
      <c r="K813" s="1">
        <v>45438</v>
      </c>
      <c r="L813" s="11">
        <v>45442</v>
      </c>
      <c r="M813">
        <f>DATEDIF(Table1_1[[#This Row],[Order Date]],Table1_1[[#This Row],[Ship Date]],"D")</f>
        <v>4</v>
      </c>
    </row>
    <row r="814" spans="1:13" x14ac:dyDescent="0.35">
      <c r="A814" t="s">
        <v>1209</v>
      </c>
      <c r="B814" t="s">
        <v>396</v>
      </c>
      <c r="C814" t="s">
        <v>166</v>
      </c>
      <c r="D814" s="2">
        <v>308.55</v>
      </c>
      <c r="E814">
        <v>1</v>
      </c>
      <c r="F814">
        <v>0</v>
      </c>
      <c r="G814" t="s">
        <v>19</v>
      </c>
      <c r="H814" t="s">
        <v>15</v>
      </c>
      <c r="I814" t="s">
        <v>20</v>
      </c>
      <c r="J814" s="2">
        <f>Table1_1[[#This Row],[Sales]]-Table1_1[[#This Row],[Sales]]*Table1_1[[#This Row],[Discount]]</f>
        <v>308.55</v>
      </c>
      <c r="K814" s="1">
        <v>45690</v>
      </c>
      <c r="L814" s="11">
        <v>45691</v>
      </c>
      <c r="M814">
        <f>DATEDIF(Table1_1[[#This Row],[Order Date]],Table1_1[[#This Row],[Ship Date]],"D")</f>
        <v>1</v>
      </c>
    </row>
    <row r="815" spans="1:13" x14ac:dyDescent="0.35">
      <c r="A815" t="s">
        <v>1210</v>
      </c>
      <c r="B815" t="s">
        <v>182</v>
      </c>
      <c r="C815" t="s">
        <v>62</v>
      </c>
      <c r="D815" s="2">
        <v>2917.98</v>
      </c>
      <c r="E815">
        <v>9</v>
      </c>
      <c r="F815">
        <v>0.3</v>
      </c>
      <c r="G815" t="s">
        <v>14</v>
      </c>
      <c r="H815" t="s">
        <v>15</v>
      </c>
      <c r="I815" t="s">
        <v>16</v>
      </c>
      <c r="J815" s="2">
        <f>Table1_1[[#This Row],[Sales]]-Table1_1[[#This Row],[Sales]]*Table1_1[[#This Row],[Discount]]</f>
        <v>2042.586</v>
      </c>
      <c r="K815" s="1">
        <v>45499</v>
      </c>
      <c r="L815" s="11">
        <v>45503</v>
      </c>
      <c r="M815">
        <f>DATEDIF(Table1_1[[#This Row],[Order Date]],Table1_1[[#This Row],[Ship Date]],"D")</f>
        <v>4</v>
      </c>
    </row>
    <row r="816" spans="1:13" x14ac:dyDescent="0.35">
      <c r="A816" t="s">
        <v>1211</v>
      </c>
      <c r="B816" t="s">
        <v>239</v>
      </c>
      <c r="C816" t="s">
        <v>278</v>
      </c>
      <c r="D816" s="2">
        <v>691.17</v>
      </c>
      <c r="E816">
        <v>3</v>
      </c>
      <c r="F816">
        <v>0.1</v>
      </c>
      <c r="G816" t="s">
        <v>39</v>
      </c>
      <c r="H816" t="s">
        <v>15</v>
      </c>
      <c r="I816" t="s">
        <v>16</v>
      </c>
      <c r="J816" s="2">
        <f>Table1_1[[#This Row],[Sales]]-Table1_1[[#This Row],[Sales]]*Table1_1[[#This Row],[Discount]]</f>
        <v>622.053</v>
      </c>
      <c r="K816" s="1">
        <v>45489</v>
      </c>
      <c r="L816" s="11">
        <v>45495</v>
      </c>
      <c r="M816">
        <f>DATEDIF(Table1_1[[#This Row],[Order Date]],Table1_1[[#This Row],[Ship Date]],"D")</f>
        <v>6</v>
      </c>
    </row>
    <row r="817" spans="1:13" x14ac:dyDescent="0.35">
      <c r="A817" t="s">
        <v>1212</v>
      </c>
      <c r="B817" t="s">
        <v>913</v>
      </c>
      <c r="C817" t="s">
        <v>911</v>
      </c>
      <c r="D817" s="2">
        <v>4402.03</v>
      </c>
      <c r="E817">
        <v>3</v>
      </c>
      <c r="F817">
        <v>0</v>
      </c>
      <c r="G817" t="s">
        <v>14</v>
      </c>
      <c r="H817" t="s">
        <v>21</v>
      </c>
      <c r="I817" t="s">
        <v>16</v>
      </c>
      <c r="J817" s="2">
        <f>Table1_1[[#This Row],[Sales]]-Table1_1[[#This Row],[Sales]]*Table1_1[[#This Row],[Discount]]</f>
        <v>4402.03</v>
      </c>
      <c r="K817" s="1">
        <v>45627</v>
      </c>
      <c r="L817" s="11">
        <v>45633</v>
      </c>
      <c r="M817">
        <f>DATEDIF(Table1_1[[#This Row],[Order Date]],Table1_1[[#This Row],[Ship Date]],"D")</f>
        <v>6</v>
      </c>
    </row>
    <row r="818" spans="1:13" x14ac:dyDescent="0.35">
      <c r="A818" t="s">
        <v>1213</v>
      </c>
      <c r="B818" t="s">
        <v>256</v>
      </c>
      <c r="C818" t="s">
        <v>229</v>
      </c>
      <c r="D818" s="2">
        <v>1814.39</v>
      </c>
      <c r="E818">
        <v>6</v>
      </c>
      <c r="F818">
        <v>0.2</v>
      </c>
      <c r="G818" t="s">
        <v>14</v>
      </c>
      <c r="H818" t="s">
        <v>15</v>
      </c>
      <c r="I818" t="s">
        <v>20</v>
      </c>
      <c r="J818" s="2">
        <f>Table1_1[[#This Row],[Sales]]-Table1_1[[#This Row],[Sales]]*Table1_1[[#This Row],[Discount]]</f>
        <v>1451.5120000000002</v>
      </c>
      <c r="K818" s="1">
        <v>45280</v>
      </c>
      <c r="L818" s="11">
        <v>45284</v>
      </c>
      <c r="M818">
        <f>DATEDIF(Table1_1[[#This Row],[Order Date]],Table1_1[[#This Row],[Ship Date]],"D")</f>
        <v>4</v>
      </c>
    </row>
    <row r="819" spans="1:13" x14ac:dyDescent="0.35">
      <c r="A819" t="s">
        <v>1214</v>
      </c>
      <c r="B819" t="s">
        <v>770</v>
      </c>
      <c r="C819" t="s">
        <v>135</v>
      </c>
      <c r="D819" s="2">
        <v>411.8</v>
      </c>
      <c r="E819">
        <v>3</v>
      </c>
      <c r="F819">
        <v>0</v>
      </c>
      <c r="G819" t="s">
        <v>19</v>
      </c>
      <c r="H819" t="s">
        <v>21</v>
      </c>
      <c r="I819" t="s">
        <v>16</v>
      </c>
      <c r="J819" s="2">
        <f>Table1_1[[#This Row],[Sales]]-Table1_1[[#This Row],[Sales]]*Table1_1[[#This Row],[Discount]]</f>
        <v>411.8</v>
      </c>
      <c r="K819" s="1">
        <v>45767</v>
      </c>
      <c r="L819" s="11">
        <v>45772</v>
      </c>
      <c r="M819">
        <f>DATEDIF(Table1_1[[#This Row],[Order Date]],Table1_1[[#This Row],[Ship Date]],"D")</f>
        <v>5</v>
      </c>
    </row>
    <row r="820" spans="1:13" x14ac:dyDescent="0.35">
      <c r="A820" t="s">
        <v>1215</v>
      </c>
      <c r="B820" t="s">
        <v>41</v>
      </c>
      <c r="C820" t="s">
        <v>160</v>
      </c>
      <c r="D820" s="2">
        <v>1415.25</v>
      </c>
      <c r="E820">
        <v>10</v>
      </c>
      <c r="F820">
        <v>0</v>
      </c>
      <c r="G820" t="s">
        <v>19</v>
      </c>
      <c r="H820" t="s">
        <v>15</v>
      </c>
      <c r="I820" t="s">
        <v>16</v>
      </c>
      <c r="J820" s="2">
        <f>Table1_1[[#This Row],[Sales]]-Table1_1[[#This Row],[Sales]]*Table1_1[[#This Row],[Discount]]</f>
        <v>1415.25</v>
      </c>
      <c r="K820" s="1">
        <v>45294</v>
      </c>
      <c r="L820" s="11">
        <v>45298</v>
      </c>
      <c r="M820">
        <f>DATEDIF(Table1_1[[#This Row],[Order Date]],Table1_1[[#This Row],[Ship Date]],"D")</f>
        <v>4</v>
      </c>
    </row>
    <row r="821" spans="1:13" x14ac:dyDescent="0.35">
      <c r="A821" t="s">
        <v>1216</v>
      </c>
      <c r="B821" t="s">
        <v>48</v>
      </c>
      <c r="C821" t="s">
        <v>388</v>
      </c>
      <c r="D821" s="2">
        <v>2632.9</v>
      </c>
      <c r="E821">
        <v>7</v>
      </c>
      <c r="F821">
        <v>0.2</v>
      </c>
      <c r="G821" t="s">
        <v>19</v>
      </c>
      <c r="H821" t="s">
        <v>15</v>
      </c>
      <c r="I821" t="s">
        <v>43</v>
      </c>
      <c r="J821" s="2">
        <f>Table1_1[[#This Row],[Sales]]-Table1_1[[#This Row],[Sales]]*Table1_1[[#This Row],[Discount]]</f>
        <v>2106.3200000000002</v>
      </c>
      <c r="K821" s="1">
        <v>45804</v>
      </c>
      <c r="L821" s="11">
        <v>45807</v>
      </c>
      <c r="M821">
        <f>DATEDIF(Table1_1[[#This Row],[Order Date]],Table1_1[[#This Row],[Ship Date]],"D")</f>
        <v>3</v>
      </c>
    </row>
    <row r="822" spans="1:13" x14ac:dyDescent="0.35">
      <c r="A822" t="s">
        <v>1217</v>
      </c>
      <c r="B822" t="s">
        <v>187</v>
      </c>
      <c r="C822" t="s">
        <v>143</v>
      </c>
      <c r="D822" s="2">
        <v>671.2</v>
      </c>
      <c r="E822">
        <v>5</v>
      </c>
      <c r="F822">
        <v>0.1</v>
      </c>
      <c r="G822" t="s">
        <v>14</v>
      </c>
      <c r="H822" t="s">
        <v>21</v>
      </c>
      <c r="I822" t="s">
        <v>43</v>
      </c>
      <c r="J822" s="2">
        <f>Table1_1[[#This Row],[Sales]]-Table1_1[[#This Row],[Sales]]*Table1_1[[#This Row],[Discount]]</f>
        <v>604.08000000000004</v>
      </c>
      <c r="K822" s="1">
        <v>45029</v>
      </c>
      <c r="L822" s="11">
        <v>45032</v>
      </c>
      <c r="M822">
        <f>DATEDIF(Table1_1[[#This Row],[Order Date]],Table1_1[[#This Row],[Ship Date]],"D")</f>
        <v>3</v>
      </c>
    </row>
    <row r="823" spans="1:13" x14ac:dyDescent="0.35">
      <c r="A823" t="s">
        <v>1218</v>
      </c>
      <c r="B823" t="s">
        <v>36</v>
      </c>
      <c r="C823" t="s">
        <v>458</v>
      </c>
      <c r="D823" s="2">
        <v>3085.04</v>
      </c>
      <c r="E823">
        <v>3</v>
      </c>
      <c r="F823">
        <v>0.3</v>
      </c>
      <c r="G823" t="s">
        <v>14</v>
      </c>
      <c r="H823" t="s">
        <v>21</v>
      </c>
      <c r="I823" t="s">
        <v>16</v>
      </c>
      <c r="J823" s="2">
        <f>Table1_1[[#This Row],[Sales]]-Table1_1[[#This Row],[Sales]]*Table1_1[[#This Row],[Discount]]</f>
        <v>2159.5280000000002</v>
      </c>
      <c r="K823" s="1">
        <v>45435</v>
      </c>
      <c r="L823" s="11">
        <v>45439</v>
      </c>
      <c r="M823">
        <f>DATEDIF(Table1_1[[#This Row],[Order Date]],Table1_1[[#This Row],[Ship Date]],"D")</f>
        <v>4</v>
      </c>
    </row>
    <row r="824" spans="1:13" x14ac:dyDescent="0.35">
      <c r="A824" t="s">
        <v>1219</v>
      </c>
      <c r="B824" t="s">
        <v>986</v>
      </c>
      <c r="C824" t="s">
        <v>384</v>
      </c>
      <c r="D824" s="2">
        <v>3924.65</v>
      </c>
      <c r="E824">
        <v>9</v>
      </c>
      <c r="F824">
        <v>0</v>
      </c>
      <c r="G824" t="s">
        <v>14</v>
      </c>
      <c r="H824" t="s">
        <v>21</v>
      </c>
      <c r="I824" t="s">
        <v>20</v>
      </c>
      <c r="J824" s="2">
        <f>Table1_1[[#This Row],[Sales]]-Table1_1[[#This Row],[Sales]]*Table1_1[[#This Row],[Discount]]</f>
        <v>3924.65</v>
      </c>
      <c r="K824" s="1">
        <v>45048</v>
      </c>
      <c r="L824" s="11">
        <v>45052</v>
      </c>
      <c r="M824">
        <f>DATEDIF(Table1_1[[#This Row],[Order Date]],Table1_1[[#This Row],[Ship Date]],"D")</f>
        <v>4</v>
      </c>
    </row>
    <row r="825" spans="1:13" x14ac:dyDescent="0.35">
      <c r="A825" t="s">
        <v>1220</v>
      </c>
      <c r="B825" t="s">
        <v>1042</v>
      </c>
      <c r="C825" t="s">
        <v>262</v>
      </c>
      <c r="D825" s="2">
        <v>4264.76</v>
      </c>
      <c r="E825">
        <v>8</v>
      </c>
      <c r="F825">
        <v>0</v>
      </c>
      <c r="G825" t="s">
        <v>39</v>
      </c>
      <c r="H825" t="s">
        <v>15</v>
      </c>
      <c r="I825" t="s">
        <v>16</v>
      </c>
      <c r="J825" s="2">
        <f>Table1_1[[#This Row],[Sales]]-Table1_1[[#This Row],[Sales]]*Table1_1[[#This Row],[Discount]]</f>
        <v>4264.76</v>
      </c>
      <c r="K825" s="1">
        <v>45157</v>
      </c>
      <c r="L825" s="11">
        <v>45160</v>
      </c>
      <c r="M825">
        <f>DATEDIF(Table1_1[[#This Row],[Order Date]],Table1_1[[#This Row],[Ship Date]],"D")</f>
        <v>3</v>
      </c>
    </row>
    <row r="826" spans="1:13" x14ac:dyDescent="0.35">
      <c r="A826" t="s">
        <v>1221</v>
      </c>
      <c r="B826" t="s">
        <v>603</v>
      </c>
      <c r="C826" t="s">
        <v>178</v>
      </c>
      <c r="D826" s="2">
        <v>4257.01</v>
      </c>
      <c r="E826">
        <v>9</v>
      </c>
      <c r="F826">
        <v>0.1</v>
      </c>
      <c r="G826" t="s">
        <v>14</v>
      </c>
      <c r="H826" t="s">
        <v>21</v>
      </c>
      <c r="I826" t="s">
        <v>20</v>
      </c>
      <c r="J826" s="2">
        <f>Table1_1[[#This Row],[Sales]]-Table1_1[[#This Row],[Sales]]*Table1_1[[#This Row],[Discount]]</f>
        <v>3831.3090000000002</v>
      </c>
      <c r="K826" s="1">
        <v>45119</v>
      </c>
      <c r="L826" s="11">
        <v>45123</v>
      </c>
      <c r="M826">
        <f>DATEDIF(Table1_1[[#This Row],[Order Date]],Table1_1[[#This Row],[Ship Date]],"D")</f>
        <v>4</v>
      </c>
    </row>
    <row r="827" spans="1:13" x14ac:dyDescent="0.35">
      <c r="A827" t="s">
        <v>1222</v>
      </c>
      <c r="B827" t="s">
        <v>804</v>
      </c>
      <c r="C827" t="s">
        <v>226</v>
      </c>
      <c r="D827" s="2">
        <v>1176.5899999999999</v>
      </c>
      <c r="E827">
        <v>8</v>
      </c>
      <c r="F827">
        <v>0.1</v>
      </c>
      <c r="G827" t="s">
        <v>39</v>
      </c>
      <c r="H827" t="s">
        <v>15</v>
      </c>
      <c r="I827" t="s">
        <v>43</v>
      </c>
      <c r="J827" s="2">
        <f>Table1_1[[#This Row],[Sales]]-Table1_1[[#This Row],[Sales]]*Table1_1[[#This Row],[Discount]]</f>
        <v>1058.931</v>
      </c>
      <c r="K827" s="1">
        <v>45536</v>
      </c>
      <c r="L827" s="11">
        <v>45541</v>
      </c>
      <c r="M827">
        <f>DATEDIF(Table1_1[[#This Row],[Order Date]],Table1_1[[#This Row],[Ship Date]],"D")</f>
        <v>5</v>
      </c>
    </row>
    <row r="828" spans="1:13" x14ac:dyDescent="0.35">
      <c r="A828" t="s">
        <v>1223</v>
      </c>
      <c r="B828" t="s">
        <v>264</v>
      </c>
      <c r="C828" t="s">
        <v>220</v>
      </c>
      <c r="D828" s="2">
        <v>647.75</v>
      </c>
      <c r="E828">
        <v>4</v>
      </c>
      <c r="F828">
        <v>0.2</v>
      </c>
      <c r="G828" t="s">
        <v>19</v>
      </c>
      <c r="H828" t="s">
        <v>15</v>
      </c>
      <c r="I828" t="s">
        <v>43</v>
      </c>
      <c r="J828" s="2">
        <f>Table1_1[[#This Row],[Sales]]-Table1_1[[#This Row],[Sales]]*Table1_1[[#This Row],[Discount]]</f>
        <v>518.20000000000005</v>
      </c>
      <c r="K828" s="1">
        <v>45567</v>
      </c>
      <c r="L828" s="11">
        <v>45568</v>
      </c>
      <c r="M828">
        <f>DATEDIF(Table1_1[[#This Row],[Order Date]],Table1_1[[#This Row],[Ship Date]],"D")</f>
        <v>1</v>
      </c>
    </row>
    <row r="829" spans="1:13" x14ac:dyDescent="0.35">
      <c r="A829" t="s">
        <v>1224</v>
      </c>
      <c r="B829" t="s">
        <v>356</v>
      </c>
      <c r="C829" t="s">
        <v>359</v>
      </c>
      <c r="D829" s="2">
        <v>1337.53</v>
      </c>
      <c r="E829">
        <v>6</v>
      </c>
      <c r="F829">
        <v>0</v>
      </c>
      <c r="G829" t="s">
        <v>14</v>
      </c>
      <c r="H829" t="s">
        <v>15</v>
      </c>
      <c r="I829" t="s">
        <v>16</v>
      </c>
      <c r="J829" s="2">
        <f>Table1_1[[#This Row],[Sales]]-Table1_1[[#This Row],[Sales]]*Table1_1[[#This Row],[Discount]]</f>
        <v>1337.53</v>
      </c>
      <c r="K829" s="1">
        <v>45134</v>
      </c>
      <c r="L829" s="11">
        <v>45139</v>
      </c>
      <c r="M829">
        <f>DATEDIF(Table1_1[[#This Row],[Order Date]],Table1_1[[#This Row],[Ship Date]],"D")</f>
        <v>5</v>
      </c>
    </row>
    <row r="830" spans="1:13" x14ac:dyDescent="0.35">
      <c r="A830" t="s">
        <v>1225</v>
      </c>
      <c r="B830" t="s">
        <v>306</v>
      </c>
      <c r="C830" t="s">
        <v>595</v>
      </c>
      <c r="D830" s="2">
        <v>352.94</v>
      </c>
      <c r="E830">
        <v>10</v>
      </c>
      <c r="F830">
        <v>0</v>
      </c>
      <c r="G830" t="s">
        <v>14</v>
      </c>
      <c r="H830" t="s">
        <v>15</v>
      </c>
      <c r="I830" t="s">
        <v>20</v>
      </c>
      <c r="J830" s="2">
        <f>Table1_1[[#This Row],[Sales]]-Table1_1[[#This Row],[Sales]]*Table1_1[[#This Row],[Discount]]</f>
        <v>352.94</v>
      </c>
      <c r="K830" s="1">
        <v>45610</v>
      </c>
      <c r="L830" s="11">
        <v>45612</v>
      </c>
      <c r="M830">
        <f>DATEDIF(Table1_1[[#This Row],[Order Date]],Table1_1[[#This Row],[Ship Date]],"D")</f>
        <v>2</v>
      </c>
    </row>
    <row r="831" spans="1:13" x14ac:dyDescent="0.35">
      <c r="A831" t="s">
        <v>1226</v>
      </c>
      <c r="B831" t="s">
        <v>438</v>
      </c>
      <c r="C831" t="s">
        <v>60</v>
      </c>
      <c r="D831" s="2">
        <v>394.27</v>
      </c>
      <c r="E831">
        <v>1</v>
      </c>
      <c r="F831">
        <v>0</v>
      </c>
      <c r="G831" t="s">
        <v>14</v>
      </c>
      <c r="H831" t="s">
        <v>21</v>
      </c>
      <c r="I831" t="s">
        <v>20</v>
      </c>
      <c r="J831" s="2">
        <f>Table1_1[[#This Row],[Sales]]-Table1_1[[#This Row],[Sales]]*Table1_1[[#This Row],[Discount]]</f>
        <v>394.27</v>
      </c>
      <c r="K831" s="1">
        <v>45091</v>
      </c>
      <c r="L831" s="11">
        <v>45096</v>
      </c>
      <c r="M831">
        <f>DATEDIF(Table1_1[[#This Row],[Order Date]],Table1_1[[#This Row],[Ship Date]],"D")</f>
        <v>5</v>
      </c>
    </row>
    <row r="832" spans="1:13" x14ac:dyDescent="0.35">
      <c r="A832" t="s">
        <v>1227</v>
      </c>
      <c r="B832" t="s">
        <v>59</v>
      </c>
      <c r="C832" t="s">
        <v>180</v>
      </c>
      <c r="D832" s="2">
        <v>4211.33</v>
      </c>
      <c r="E832">
        <v>4</v>
      </c>
      <c r="F832">
        <v>0</v>
      </c>
      <c r="G832" t="s">
        <v>39</v>
      </c>
      <c r="H832" t="s">
        <v>21</v>
      </c>
      <c r="I832" t="s">
        <v>16</v>
      </c>
      <c r="J832" s="2">
        <f>Table1_1[[#This Row],[Sales]]-Table1_1[[#This Row],[Sales]]*Table1_1[[#This Row],[Discount]]</f>
        <v>4211.33</v>
      </c>
      <c r="K832" s="1">
        <v>45046</v>
      </c>
      <c r="L832" s="11">
        <v>45053</v>
      </c>
      <c r="M832">
        <f>DATEDIF(Table1_1[[#This Row],[Order Date]],Table1_1[[#This Row],[Ship Date]],"D")</f>
        <v>7</v>
      </c>
    </row>
    <row r="833" spans="1:13" x14ac:dyDescent="0.35">
      <c r="A833" t="s">
        <v>1228</v>
      </c>
      <c r="B833" t="s">
        <v>832</v>
      </c>
      <c r="C833" t="s">
        <v>388</v>
      </c>
      <c r="D833" s="2">
        <v>3781.83</v>
      </c>
      <c r="E833">
        <v>8</v>
      </c>
      <c r="F833">
        <v>0.1</v>
      </c>
      <c r="G833" t="s">
        <v>14</v>
      </c>
      <c r="H833" t="s">
        <v>15</v>
      </c>
      <c r="I833" t="s">
        <v>16</v>
      </c>
      <c r="J833" s="2">
        <f>Table1_1[[#This Row],[Sales]]-Table1_1[[#This Row],[Sales]]*Table1_1[[#This Row],[Discount]]</f>
        <v>3403.6469999999999</v>
      </c>
      <c r="K833" s="1">
        <v>45569</v>
      </c>
      <c r="L833" s="11">
        <v>45574</v>
      </c>
      <c r="M833">
        <f>DATEDIF(Table1_1[[#This Row],[Order Date]],Table1_1[[#This Row],[Ship Date]],"D")</f>
        <v>5</v>
      </c>
    </row>
    <row r="834" spans="1:13" x14ac:dyDescent="0.35">
      <c r="A834" t="s">
        <v>1229</v>
      </c>
      <c r="B834" t="s">
        <v>284</v>
      </c>
      <c r="C834" t="s">
        <v>293</v>
      </c>
      <c r="D834" s="2">
        <v>1608.45</v>
      </c>
      <c r="E834">
        <v>5</v>
      </c>
      <c r="F834">
        <v>0</v>
      </c>
      <c r="G834" t="s">
        <v>14</v>
      </c>
      <c r="H834" t="s">
        <v>15</v>
      </c>
      <c r="I834" t="s">
        <v>43</v>
      </c>
      <c r="J834" s="2">
        <f>Table1_1[[#This Row],[Sales]]-Table1_1[[#This Row],[Sales]]*Table1_1[[#This Row],[Discount]]</f>
        <v>1608.45</v>
      </c>
      <c r="K834" s="1">
        <v>45186</v>
      </c>
      <c r="L834" s="11">
        <v>45192</v>
      </c>
      <c r="M834">
        <f>DATEDIF(Table1_1[[#This Row],[Order Date]],Table1_1[[#This Row],[Ship Date]],"D")</f>
        <v>6</v>
      </c>
    </row>
    <row r="835" spans="1:13" x14ac:dyDescent="0.35">
      <c r="A835" t="s">
        <v>1230</v>
      </c>
      <c r="B835" t="s">
        <v>317</v>
      </c>
      <c r="C835" t="s">
        <v>217</v>
      </c>
      <c r="D835" s="2">
        <v>280.72000000000003</v>
      </c>
      <c r="E835">
        <v>7</v>
      </c>
      <c r="F835">
        <v>0.3</v>
      </c>
      <c r="G835" t="s">
        <v>39</v>
      </c>
      <c r="H835" t="s">
        <v>21</v>
      </c>
      <c r="I835" t="s">
        <v>20</v>
      </c>
      <c r="J835" s="2">
        <f>Table1_1[[#This Row],[Sales]]-Table1_1[[#This Row],[Sales]]*Table1_1[[#This Row],[Discount]]</f>
        <v>196.50400000000002</v>
      </c>
      <c r="K835" s="1">
        <v>45525</v>
      </c>
      <c r="L835" s="11">
        <v>45527</v>
      </c>
      <c r="M835">
        <f>DATEDIF(Table1_1[[#This Row],[Order Date]],Table1_1[[#This Row],[Ship Date]],"D")</f>
        <v>2</v>
      </c>
    </row>
    <row r="836" spans="1:13" x14ac:dyDescent="0.35">
      <c r="A836" t="s">
        <v>1231</v>
      </c>
      <c r="B836" t="s">
        <v>371</v>
      </c>
      <c r="C836" t="s">
        <v>259</v>
      </c>
      <c r="D836" s="2">
        <v>2215.6799999999998</v>
      </c>
      <c r="E836">
        <v>6</v>
      </c>
      <c r="F836">
        <v>0</v>
      </c>
      <c r="G836" t="s">
        <v>19</v>
      </c>
      <c r="H836" t="s">
        <v>15</v>
      </c>
      <c r="I836" t="s">
        <v>16</v>
      </c>
      <c r="J836" s="2">
        <f>Table1_1[[#This Row],[Sales]]-Table1_1[[#This Row],[Sales]]*Table1_1[[#This Row],[Discount]]</f>
        <v>2215.6799999999998</v>
      </c>
      <c r="K836" s="1">
        <v>45201</v>
      </c>
      <c r="L836" s="11">
        <v>45207</v>
      </c>
      <c r="M836">
        <f>DATEDIF(Table1_1[[#This Row],[Order Date]],Table1_1[[#This Row],[Ship Date]],"D")</f>
        <v>6</v>
      </c>
    </row>
    <row r="837" spans="1:13" x14ac:dyDescent="0.35">
      <c r="A837" t="s">
        <v>1232</v>
      </c>
      <c r="B837" t="s">
        <v>353</v>
      </c>
      <c r="C837" t="s">
        <v>152</v>
      </c>
      <c r="D837" s="2">
        <v>3481.7</v>
      </c>
      <c r="E837">
        <v>1</v>
      </c>
      <c r="F837">
        <v>0</v>
      </c>
      <c r="G837" t="s">
        <v>19</v>
      </c>
      <c r="H837" t="s">
        <v>15</v>
      </c>
      <c r="I837" t="s">
        <v>16</v>
      </c>
      <c r="J837" s="2">
        <f>Table1_1[[#This Row],[Sales]]-Table1_1[[#This Row],[Sales]]*Table1_1[[#This Row],[Discount]]</f>
        <v>3481.7</v>
      </c>
      <c r="K837" s="1">
        <v>45788</v>
      </c>
      <c r="L837" s="11">
        <v>45790</v>
      </c>
      <c r="M837">
        <f>DATEDIF(Table1_1[[#This Row],[Order Date]],Table1_1[[#This Row],[Ship Date]],"D")</f>
        <v>2</v>
      </c>
    </row>
    <row r="838" spans="1:13" x14ac:dyDescent="0.35">
      <c r="A838" t="s">
        <v>1233</v>
      </c>
      <c r="B838" t="s">
        <v>522</v>
      </c>
      <c r="C838" t="s">
        <v>243</v>
      </c>
      <c r="D838" s="2">
        <v>4339.96</v>
      </c>
      <c r="E838">
        <v>1</v>
      </c>
      <c r="F838">
        <v>0</v>
      </c>
      <c r="G838" t="s">
        <v>19</v>
      </c>
      <c r="H838" t="s">
        <v>15</v>
      </c>
      <c r="I838" t="s">
        <v>43</v>
      </c>
      <c r="J838" s="2">
        <f>Table1_1[[#This Row],[Sales]]-Table1_1[[#This Row],[Sales]]*Table1_1[[#This Row],[Discount]]</f>
        <v>4339.96</v>
      </c>
      <c r="K838" s="1">
        <v>45390</v>
      </c>
      <c r="L838" s="11">
        <v>45395</v>
      </c>
      <c r="M838">
        <f>DATEDIF(Table1_1[[#This Row],[Order Date]],Table1_1[[#This Row],[Ship Date]],"D")</f>
        <v>5</v>
      </c>
    </row>
    <row r="839" spans="1:13" x14ac:dyDescent="0.35">
      <c r="A839" t="s">
        <v>1234</v>
      </c>
      <c r="B839" t="s">
        <v>1002</v>
      </c>
      <c r="C839" t="s">
        <v>265</v>
      </c>
      <c r="D839" s="2">
        <v>4543.41</v>
      </c>
      <c r="E839">
        <v>7</v>
      </c>
      <c r="F839">
        <v>0.2</v>
      </c>
      <c r="G839" t="s">
        <v>19</v>
      </c>
      <c r="H839" t="s">
        <v>15</v>
      </c>
      <c r="I839" t="s">
        <v>43</v>
      </c>
      <c r="J839" s="2">
        <f>Table1_1[[#This Row],[Sales]]-Table1_1[[#This Row],[Sales]]*Table1_1[[#This Row],[Discount]]</f>
        <v>3634.7280000000001</v>
      </c>
      <c r="K839" s="1">
        <v>45495</v>
      </c>
      <c r="L839" s="11">
        <v>45498</v>
      </c>
      <c r="M839">
        <f>DATEDIF(Table1_1[[#This Row],[Order Date]],Table1_1[[#This Row],[Ship Date]],"D")</f>
        <v>3</v>
      </c>
    </row>
    <row r="840" spans="1:13" x14ac:dyDescent="0.35">
      <c r="A840" t="s">
        <v>1235</v>
      </c>
      <c r="B840" t="s">
        <v>570</v>
      </c>
      <c r="C840" t="s">
        <v>259</v>
      </c>
      <c r="D840" s="2">
        <v>3504.82</v>
      </c>
      <c r="E840">
        <v>6</v>
      </c>
      <c r="F840">
        <v>0.1</v>
      </c>
      <c r="G840" t="s">
        <v>39</v>
      </c>
      <c r="H840" t="s">
        <v>21</v>
      </c>
      <c r="I840" t="s">
        <v>20</v>
      </c>
      <c r="J840" s="2">
        <f>Table1_1[[#This Row],[Sales]]-Table1_1[[#This Row],[Sales]]*Table1_1[[#This Row],[Discount]]</f>
        <v>3154.3380000000002</v>
      </c>
      <c r="K840" s="1">
        <v>45617</v>
      </c>
      <c r="L840" s="11">
        <v>45619</v>
      </c>
      <c r="M840">
        <f>DATEDIF(Table1_1[[#This Row],[Order Date]],Table1_1[[#This Row],[Ship Date]],"D")</f>
        <v>2</v>
      </c>
    </row>
    <row r="841" spans="1:13" x14ac:dyDescent="0.35">
      <c r="A841" t="s">
        <v>1236</v>
      </c>
      <c r="B841" t="s">
        <v>107</v>
      </c>
      <c r="C841" t="s">
        <v>357</v>
      </c>
      <c r="D841" s="2">
        <v>407.7</v>
      </c>
      <c r="E841">
        <v>1</v>
      </c>
      <c r="F841">
        <v>0</v>
      </c>
      <c r="G841" t="s">
        <v>14</v>
      </c>
      <c r="H841" t="s">
        <v>15</v>
      </c>
      <c r="I841" t="s">
        <v>43</v>
      </c>
      <c r="J841" s="2">
        <f>Table1_1[[#This Row],[Sales]]-Table1_1[[#This Row],[Sales]]*Table1_1[[#This Row],[Discount]]</f>
        <v>407.7</v>
      </c>
      <c r="K841" s="1">
        <v>45113</v>
      </c>
      <c r="L841" s="11">
        <v>45114</v>
      </c>
      <c r="M841">
        <f>DATEDIF(Table1_1[[#This Row],[Order Date]],Table1_1[[#This Row],[Ship Date]],"D")</f>
        <v>1</v>
      </c>
    </row>
    <row r="842" spans="1:13" x14ac:dyDescent="0.35">
      <c r="A842" t="s">
        <v>1237</v>
      </c>
      <c r="B842" t="s">
        <v>331</v>
      </c>
      <c r="C842" t="s">
        <v>726</v>
      </c>
      <c r="D842" s="2">
        <v>1197.02</v>
      </c>
      <c r="E842">
        <v>2</v>
      </c>
      <c r="F842">
        <v>0</v>
      </c>
      <c r="G842" t="s">
        <v>14</v>
      </c>
      <c r="H842" t="s">
        <v>15</v>
      </c>
      <c r="I842" t="s">
        <v>43</v>
      </c>
      <c r="J842" s="2">
        <f>Table1_1[[#This Row],[Sales]]-Table1_1[[#This Row],[Sales]]*Table1_1[[#This Row],[Discount]]</f>
        <v>1197.02</v>
      </c>
      <c r="K842" s="1">
        <v>45739</v>
      </c>
      <c r="L842" s="11">
        <v>45744</v>
      </c>
      <c r="M842">
        <f>DATEDIF(Table1_1[[#This Row],[Order Date]],Table1_1[[#This Row],[Ship Date]],"D")</f>
        <v>5</v>
      </c>
    </row>
    <row r="843" spans="1:13" x14ac:dyDescent="0.35">
      <c r="A843" t="s">
        <v>1238</v>
      </c>
      <c r="B843" t="s">
        <v>1073</v>
      </c>
      <c r="C843" t="s">
        <v>190</v>
      </c>
      <c r="D843" s="2">
        <v>4716.26</v>
      </c>
      <c r="E843">
        <v>9</v>
      </c>
      <c r="F843">
        <v>0.2</v>
      </c>
      <c r="G843" t="s">
        <v>19</v>
      </c>
      <c r="H843" t="s">
        <v>21</v>
      </c>
      <c r="I843" t="s">
        <v>43</v>
      </c>
      <c r="J843" s="2">
        <f>Table1_1[[#This Row],[Sales]]-Table1_1[[#This Row],[Sales]]*Table1_1[[#This Row],[Discount]]</f>
        <v>3773.0080000000003</v>
      </c>
      <c r="K843" s="1">
        <v>45230</v>
      </c>
      <c r="L843" s="11">
        <v>45234</v>
      </c>
      <c r="M843">
        <f>DATEDIF(Table1_1[[#This Row],[Order Date]],Table1_1[[#This Row],[Ship Date]],"D")</f>
        <v>4</v>
      </c>
    </row>
    <row r="844" spans="1:13" x14ac:dyDescent="0.35">
      <c r="A844" t="s">
        <v>1239</v>
      </c>
      <c r="B844" t="s">
        <v>151</v>
      </c>
      <c r="C844" t="s">
        <v>246</v>
      </c>
      <c r="D844" s="2">
        <v>4445.01</v>
      </c>
      <c r="E844">
        <v>7</v>
      </c>
      <c r="F844">
        <v>0.2</v>
      </c>
      <c r="G844" t="s">
        <v>14</v>
      </c>
      <c r="H844" t="s">
        <v>21</v>
      </c>
      <c r="I844" t="s">
        <v>20</v>
      </c>
      <c r="J844" s="2">
        <f>Table1_1[[#This Row],[Sales]]-Table1_1[[#This Row],[Sales]]*Table1_1[[#This Row],[Discount]]</f>
        <v>3556.0080000000003</v>
      </c>
      <c r="K844" s="1">
        <v>45329</v>
      </c>
      <c r="L844" s="11">
        <v>45331</v>
      </c>
      <c r="M844">
        <f>DATEDIF(Table1_1[[#This Row],[Order Date]],Table1_1[[#This Row],[Ship Date]],"D")</f>
        <v>2</v>
      </c>
    </row>
    <row r="845" spans="1:13" x14ac:dyDescent="0.35">
      <c r="A845" t="s">
        <v>1240</v>
      </c>
      <c r="B845" t="s">
        <v>1019</v>
      </c>
      <c r="C845" t="s">
        <v>211</v>
      </c>
      <c r="D845" s="2">
        <v>3354.32</v>
      </c>
      <c r="E845">
        <v>9</v>
      </c>
      <c r="F845">
        <v>0</v>
      </c>
      <c r="G845" t="s">
        <v>14</v>
      </c>
      <c r="H845" t="s">
        <v>15</v>
      </c>
      <c r="I845" t="s">
        <v>20</v>
      </c>
      <c r="J845" s="2">
        <f>Table1_1[[#This Row],[Sales]]-Table1_1[[#This Row],[Sales]]*Table1_1[[#This Row],[Discount]]</f>
        <v>3354.32</v>
      </c>
      <c r="K845" s="1">
        <v>45224</v>
      </c>
      <c r="L845" s="11">
        <v>45227</v>
      </c>
      <c r="M845">
        <f>DATEDIF(Table1_1[[#This Row],[Order Date]],Table1_1[[#This Row],[Ship Date]],"D")</f>
        <v>3</v>
      </c>
    </row>
    <row r="846" spans="1:13" x14ac:dyDescent="0.35">
      <c r="A846" t="s">
        <v>1241</v>
      </c>
      <c r="B846" t="s">
        <v>1242</v>
      </c>
      <c r="C846" t="s">
        <v>68</v>
      </c>
      <c r="D846" s="2">
        <v>1152.02</v>
      </c>
      <c r="E846">
        <v>3</v>
      </c>
      <c r="F846">
        <v>0.3</v>
      </c>
      <c r="G846" t="s">
        <v>39</v>
      </c>
      <c r="H846" t="s">
        <v>21</v>
      </c>
      <c r="I846" t="s">
        <v>20</v>
      </c>
      <c r="J846" s="2">
        <f>Table1_1[[#This Row],[Sales]]-Table1_1[[#This Row],[Sales]]*Table1_1[[#This Row],[Discount]]</f>
        <v>806.41399999999999</v>
      </c>
      <c r="K846" s="1">
        <v>45577</v>
      </c>
      <c r="L846" s="11">
        <v>45580</v>
      </c>
      <c r="M846">
        <f>DATEDIF(Table1_1[[#This Row],[Order Date]],Table1_1[[#This Row],[Ship Date]],"D")</f>
        <v>3</v>
      </c>
    </row>
    <row r="847" spans="1:13" x14ac:dyDescent="0.35">
      <c r="A847" t="s">
        <v>1243</v>
      </c>
      <c r="B847" t="s">
        <v>64</v>
      </c>
      <c r="C847" t="s">
        <v>99</v>
      </c>
      <c r="D847" s="2">
        <v>2383.33</v>
      </c>
      <c r="E847">
        <v>8</v>
      </c>
      <c r="F847">
        <v>0.3</v>
      </c>
      <c r="G847" t="s">
        <v>14</v>
      </c>
      <c r="H847" t="s">
        <v>21</v>
      </c>
      <c r="I847" t="s">
        <v>43</v>
      </c>
      <c r="J847" s="2">
        <f>Table1_1[[#This Row],[Sales]]-Table1_1[[#This Row],[Sales]]*Table1_1[[#This Row],[Discount]]</f>
        <v>1668.3310000000001</v>
      </c>
      <c r="K847" s="1">
        <v>45182</v>
      </c>
      <c r="L847" s="11">
        <v>45183</v>
      </c>
      <c r="M847">
        <f>DATEDIF(Table1_1[[#This Row],[Order Date]],Table1_1[[#This Row],[Ship Date]],"D")</f>
        <v>1</v>
      </c>
    </row>
    <row r="848" spans="1:13" x14ac:dyDescent="0.35">
      <c r="A848" t="s">
        <v>1244</v>
      </c>
      <c r="B848" t="s">
        <v>56</v>
      </c>
      <c r="C848" t="s">
        <v>291</v>
      </c>
      <c r="D848" s="2">
        <v>2746.89</v>
      </c>
      <c r="E848">
        <v>7</v>
      </c>
      <c r="F848">
        <v>0</v>
      </c>
      <c r="G848" t="s">
        <v>14</v>
      </c>
      <c r="H848" t="s">
        <v>21</v>
      </c>
      <c r="I848" t="s">
        <v>20</v>
      </c>
      <c r="J848" s="2">
        <f>Table1_1[[#This Row],[Sales]]-Table1_1[[#This Row],[Sales]]*Table1_1[[#This Row],[Discount]]</f>
        <v>2746.89</v>
      </c>
      <c r="K848" s="1">
        <v>45410</v>
      </c>
      <c r="L848" s="11">
        <v>45413</v>
      </c>
      <c r="M848">
        <f>DATEDIF(Table1_1[[#This Row],[Order Date]],Table1_1[[#This Row],[Ship Date]],"D")</f>
        <v>3</v>
      </c>
    </row>
    <row r="849" spans="1:13" x14ac:dyDescent="0.35">
      <c r="A849" t="s">
        <v>1245</v>
      </c>
      <c r="B849" t="s">
        <v>101</v>
      </c>
      <c r="C849" t="s">
        <v>94</v>
      </c>
      <c r="D849" s="2">
        <v>2770.27</v>
      </c>
      <c r="E849">
        <v>8</v>
      </c>
      <c r="F849">
        <v>0.2</v>
      </c>
      <c r="G849" t="s">
        <v>39</v>
      </c>
      <c r="H849" t="s">
        <v>15</v>
      </c>
      <c r="I849" t="s">
        <v>43</v>
      </c>
      <c r="J849" s="2">
        <f>Table1_1[[#This Row],[Sales]]-Table1_1[[#This Row],[Sales]]*Table1_1[[#This Row],[Discount]]</f>
        <v>2216.2159999999999</v>
      </c>
      <c r="K849" s="1">
        <v>45179</v>
      </c>
      <c r="L849" s="11">
        <v>45186</v>
      </c>
      <c r="M849">
        <f>DATEDIF(Table1_1[[#This Row],[Order Date]],Table1_1[[#This Row],[Ship Date]],"D")</f>
        <v>7</v>
      </c>
    </row>
    <row r="850" spans="1:13" x14ac:dyDescent="0.35">
      <c r="A850" t="s">
        <v>1246</v>
      </c>
      <c r="B850" t="s">
        <v>767</v>
      </c>
      <c r="C850" t="s">
        <v>62</v>
      </c>
      <c r="D850" s="2">
        <v>3367.35</v>
      </c>
      <c r="E850">
        <v>1</v>
      </c>
      <c r="F850">
        <v>0</v>
      </c>
      <c r="G850" t="s">
        <v>14</v>
      </c>
      <c r="H850" t="s">
        <v>21</v>
      </c>
      <c r="I850" t="s">
        <v>20</v>
      </c>
      <c r="J850" s="2">
        <f>Table1_1[[#This Row],[Sales]]-Table1_1[[#This Row],[Sales]]*Table1_1[[#This Row],[Discount]]</f>
        <v>3367.35</v>
      </c>
      <c r="K850" s="1">
        <v>45481</v>
      </c>
      <c r="L850" s="11">
        <v>45482</v>
      </c>
      <c r="M850">
        <f>DATEDIF(Table1_1[[#This Row],[Order Date]],Table1_1[[#This Row],[Ship Date]],"D")</f>
        <v>1</v>
      </c>
    </row>
    <row r="851" spans="1:13" x14ac:dyDescent="0.35">
      <c r="A851" t="s">
        <v>1247</v>
      </c>
      <c r="B851" t="s">
        <v>1248</v>
      </c>
      <c r="C851" t="s">
        <v>113</v>
      </c>
      <c r="D851" s="2">
        <v>1182.42</v>
      </c>
      <c r="E851">
        <v>6</v>
      </c>
      <c r="F851">
        <v>0.3</v>
      </c>
      <c r="G851" t="s">
        <v>14</v>
      </c>
      <c r="H851" t="s">
        <v>15</v>
      </c>
      <c r="I851" t="s">
        <v>20</v>
      </c>
      <c r="J851" s="2">
        <f>Table1_1[[#This Row],[Sales]]-Table1_1[[#This Row],[Sales]]*Table1_1[[#This Row],[Discount]]</f>
        <v>827.69400000000007</v>
      </c>
      <c r="K851" s="1">
        <v>45805</v>
      </c>
      <c r="L851" s="11">
        <v>45808</v>
      </c>
      <c r="M851">
        <f>DATEDIF(Table1_1[[#This Row],[Order Date]],Table1_1[[#This Row],[Ship Date]],"D")</f>
        <v>3</v>
      </c>
    </row>
    <row r="852" spans="1:13" x14ac:dyDescent="0.35">
      <c r="A852" t="s">
        <v>1249</v>
      </c>
      <c r="B852" t="s">
        <v>559</v>
      </c>
      <c r="C852" t="s">
        <v>726</v>
      </c>
      <c r="D852" s="2">
        <v>545.96</v>
      </c>
      <c r="E852">
        <v>5</v>
      </c>
      <c r="F852">
        <v>0</v>
      </c>
      <c r="G852" t="s">
        <v>39</v>
      </c>
      <c r="H852" t="s">
        <v>15</v>
      </c>
      <c r="I852" t="s">
        <v>43</v>
      </c>
      <c r="J852" s="2">
        <f>Table1_1[[#This Row],[Sales]]-Table1_1[[#This Row],[Sales]]*Table1_1[[#This Row],[Discount]]</f>
        <v>545.96</v>
      </c>
      <c r="K852" s="1">
        <v>45095</v>
      </c>
      <c r="L852" s="11">
        <v>45098</v>
      </c>
      <c r="M852">
        <f>DATEDIF(Table1_1[[#This Row],[Order Date]],Table1_1[[#This Row],[Ship Date]],"D")</f>
        <v>3</v>
      </c>
    </row>
    <row r="853" spans="1:13" x14ac:dyDescent="0.35">
      <c r="A853" t="s">
        <v>1250</v>
      </c>
      <c r="B853" t="s">
        <v>182</v>
      </c>
      <c r="C853" t="s">
        <v>13</v>
      </c>
      <c r="D853" s="2">
        <v>4909.93</v>
      </c>
      <c r="E853">
        <v>9</v>
      </c>
      <c r="F853">
        <v>0.2</v>
      </c>
      <c r="G853" t="s">
        <v>14</v>
      </c>
      <c r="H853" t="s">
        <v>21</v>
      </c>
      <c r="I853" t="s">
        <v>43</v>
      </c>
      <c r="J853" s="2">
        <f>Table1_1[[#This Row],[Sales]]-Table1_1[[#This Row],[Sales]]*Table1_1[[#This Row],[Discount]]</f>
        <v>3927.9440000000004</v>
      </c>
      <c r="K853" s="1">
        <v>45626</v>
      </c>
      <c r="L853" s="11">
        <v>45633</v>
      </c>
      <c r="M853">
        <f>DATEDIF(Table1_1[[#This Row],[Order Date]],Table1_1[[#This Row],[Ship Date]],"D")</f>
        <v>7</v>
      </c>
    </row>
    <row r="854" spans="1:13" x14ac:dyDescent="0.35">
      <c r="A854" t="s">
        <v>1251</v>
      </c>
      <c r="B854" t="s">
        <v>632</v>
      </c>
      <c r="C854" t="s">
        <v>565</v>
      </c>
      <c r="D854" s="2">
        <v>2623.35</v>
      </c>
      <c r="E854">
        <v>7</v>
      </c>
      <c r="F854">
        <v>0.2</v>
      </c>
      <c r="G854" t="s">
        <v>14</v>
      </c>
      <c r="H854" t="s">
        <v>21</v>
      </c>
      <c r="I854" t="s">
        <v>16</v>
      </c>
      <c r="J854" s="2">
        <f>Table1_1[[#This Row],[Sales]]-Table1_1[[#This Row],[Sales]]*Table1_1[[#This Row],[Discount]]</f>
        <v>2098.6799999999998</v>
      </c>
      <c r="K854" s="1">
        <v>45445</v>
      </c>
      <c r="L854" s="11">
        <v>45452</v>
      </c>
      <c r="M854">
        <f>DATEDIF(Table1_1[[#This Row],[Order Date]],Table1_1[[#This Row],[Ship Date]],"D")</f>
        <v>7</v>
      </c>
    </row>
    <row r="855" spans="1:13" x14ac:dyDescent="0.35">
      <c r="A855" t="s">
        <v>1252</v>
      </c>
      <c r="B855" t="s">
        <v>50</v>
      </c>
      <c r="C855" t="s">
        <v>354</v>
      </c>
      <c r="D855" s="2">
        <v>361.77</v>
      </c>
      <c r="E855">
        <v>7</v>
      </c>
      <c r="F855">
        <v>0</v>
      </c>
      <c r="G855" t="s">
        <v>14</v>
      </c>
      <c r="H855" t="s">
        <v>21</v>
      </c>
      <c r="I855" t="s">
        <v>20</v>
      </c>
      <c r="J855" s="2">
        <f>Table1_1[[#This Row],[Sales]]-Table1_1[[#This Row],[Sales]]*Table1_1[[#This Row],[Discount]]</f>
        <v>361.77</v>
      </c>
      <c r="K855" s="1">
        <v>44927</v>
      </c>
      <c r="L855" s="11">
        <v>44933</v>
      </c>
      <c r="M855">
        <f>DATEDIF(Table1_1[[#This Row],[Order Date]],Table1_1[[#This Row],[Ship Date]],"D")</f>
        <v>6</v>
      </c>
    </row>
    <row r="856" spans="1:13" x14ac:dyDescent="0.35">
      <c r="A856" t="s">
        <v>1253</v>
      </c>
      <c r="B856" t="s">
        <v>124</v>
      </c>
      <c r="C856" t="s">
        <v>376</v>
      </c>
      <c r="D856" s="2">
        <v>957.89</v>
      </c>
      <c r="E856">
        <v>8</v>
      </c>
      <c r="F856">
        <v>0.1</v>
      </c>
      <c r="G856" t="s">
        <v>39</v>
      </c>
      <c r="H856" t="s">
        <v>21</v>
      </c>
      <c r="I856" t="s">
        <v>20</v>
      </c>
      <c r="J856" s="2">
        <f>Table1_1[[#This Row],[Sales]]-Table1_1[[#This Row],[Sales]]*Table1_1[[#This Row],[Discount]]</f>
        <v>862.101</v>
      </c>
      <c r="K856" s="1">
        <v>44986</v>
      </c>
      <c r="L856" s="11">
        <v>44987</v>
      </c>
      <c r="M856">
        <f>DATEDIF(Table1_1[[#This Row],[Order Date]],Table1_1[[#This Row],[Ship Date]],"D")</f>
        <v>1</v>
      </c>
    </row>
    <row r="857" spans="1:13" x14ac:dyDescent="0.35">
      <c r="A857" t="s">
        <v>1254</v>
      </c>
      <c r="B857" t="s">
        <v>79</v>
      </c>
      <c r="C857" t="s">
        <v>31</v>
      </c>
      <c r="D857" s="2">
        <v>1839.57</v>
      </c>
      <c r="E857">
        <v>8</v>
      </c>
      <c r="F857">
        <v>0</v>
      </c>
      <c r="G857" t="s">
        <v>14</v>
      </c>
      <c r="H857" t="s">
        <v>21</v>
      </c>
      <c r="I857" t="s">
        <v>43</v>
      </c>
      <c r="J857" s="2">
        <f>Table1_1[[#This Row],[Sales]]-Table1_1[[#This Row],[Sales]]*Table1_1[[#This Row],[Discount]]</f>
        <v>1839.57</v>
      </c>
      <c r="K857" s="1">
        <v>45435</v>
      </c>
      <c r="L857" s="11">
        <v>45442</v>
      </c>
      <c r="M857">
        <f>DATEDIF(Table1_1[[#This Row],[Order Date]],Table1_1[[#This Row],[Ship Date]],"D")</f>
        <v>7</v>
      </c>
    </row>
    <row r="858" spans="1:13" x14ac:dyDescent="0.35">
      <c r="A858" t="s">
        <v>1255</v>
      </c>
      <c r="B858" t="s">
        <v>1004</v>
      </c>
      <c r="C858" t="s">
        <v>293</v>
      </c>
      <c r="D858" s="2">
        <v>4832.51</v>
      </c>
      <c r="E858">
        <v>9</v>
      </c>
      <c r="F858">
        <v>0.1</v>
      </c>
      <c r="G858" t="s">
        <v>39</v>
      </c>
      <c r="H858" t="s">
        <v>15</v>
      </c>
      <c r="I858" t="s">
        <v>43</v>
      </c>
      <c r="J858" s="2">
        <f>Table1_1[[#This Row],[Sales]]-Table1_1[[#This Row],[Sales]]*Table1_1[[#This Row],[Discount]]</f>
        <v>4349.259</v>
      </c>
      <c r="K858" s="1">
        <v>45301</v>
      </c>
      <c r="L858" s="11">
        <v>45303</v>
      </c>
      <c r="M858">
        <f>DATEDIF(Table1_1[[#This Row],[Order Date]],Table1_1[[#This Row],[Ship Date]],"D")</f>
        <v>2</v>
      </c>
    </row>
    <row r="859" spans="1:13" x14ac:dyDescent="0.35">
      <c r="A859" t="s">
        <v>1256</v>
      </c>
      <c r="B859" t="s">
        <v>1257</v>
      </c>
      <c r="C859" t="s">
        <v>384</v>
      </c>
      <c r="D859" s="2">
        <v>2146.64</v>
      </c>
      <c r="E859">
        <v>10</v>
      </c>
      <c r="F859">
        <v>0</v>
      </c>
      <c r="G859" t="s">
        <v>19</v>
      </c>
      <c r="H859" t="s">
        <v>15</v>
      </c>
      <c r="I859" t="s">
        <v>20</v>
      </c>
      <c r="J859" s="2">
        <f>Table1_1[[#This Row],[Sales]]-Table1_1[[#This Row],[Sales]]*Table1_1[[#This Row],[Discount]]</f>
        <v>2146.64</v>
      </c>
      <c r="K859" s="1">
        <v>45004</v>
      </c>
      <c r="L859" s="11">
        <v>45009</v>
      </c>
      <c r="M859">
        <f>DATEDIF(Table1_1[[#This Row],[Order Date]],Table1_1[[#This Row],[Ship Date]],"D")</f>
        <v>5</v>
      </c>
    </row>
    <row r="860" spans="1:13" x14ac:dyDescent="0.35">
      <c r="A860" t="s">
        <v>1258</v>
      </c>
      <c r="B860" t="s">
        <v>629</v>
      </c>
      <c r="C860" t="s">
        <v>293</v>
      </c>
      <c r="D860" s="2">
        <v>2451.5700000000002</v>
      </c>
      <c r="E860">
        <v>10</v>
      </c>
      <c r="F860">
        <v>0.3</v>
      </c>
      <c r="G860" t="s">
        <v>14</v>
      </c>
      <c r="H860" t="s">
        <v>15</v>
      </c>
      <c r="I860" t="s">
        <v>16</v>
      </c>
      <c r="J860" s="2">
        <f>Table1_1[[#This Row],[Sales]]-Table1_1[[#This Row],[Sales]]*Table1_1[[#This Row],[Discount]]</f>
        <v>1716.0990000000002</v>
      </c>
      <c r="K860" s="1">
        <v>45777</v>
      </c>
      <c r="L860" s="11">
        <v>45784</v>
      </c>
      <c r="M860">
        <f>DATEDIF(Table1_1[[#This Row],[Order Date]],Table1_1[[#This Row],[Ship Date]],"D")</f>
        <v>7</v>
      </c>
    </row>
    <row r="861" spans="1:13" x14ac:dyDescent="0.35">
      <c r="A861" t="s">
        <v>1259</v>
      </c>
      <c r="B861" t="s">
        <v>196</v>
      </c>
      <c r="C861" t="s">
        <v>214</v>
      </c>
      <c r="D861" s="2">
        <v>1899.69</v>
      </c>
      <c r="E861">
        <v>3</v>
      </c>
      <c r="F861">
        <v>0</v>
      </c>
      <c r="G861" t="s">
        <v>14</v>
      </c>
      <c r="H861" t="s">
        <v>15</v>
      </c>
      <c r="I861" t="s">
        <v>16</v>
      </c>
      <c r="J861" s="2">
        <f>Table1_1[[#This Row],[Sales]]-Table1_1[[#This Row],[Sales]]*Table1_1[[#This Row],[Discount]]</f>
        <v>1899.69</v>
      </c>
      <c r="K861" s="1">
        <v>45502</v>
      </c>
      <c r="L861" s="11">
        <v>45505</v>
      </c>
      <c r="M861">
        <f>DATEDIF(Table1_1[[#This Row],[Order Date]],Table1_1[[#This Row],[Ship Date]],"D")</f>
        <v>3</v>
      </c>
    </row>
    <row r="862" spans="1:13" x14ac:dyDescent="0.35">
      <c r="A862" t="s">
        <v>1260</v>
      </c>
      <c r="B862" t="s">
        <v>130</v>
      </c>
      <c r="C862" t="s">
        <v>246</v>
      </c>
      <c r="D862" s="2">
        <v>496.48</v>
      </c>
      <c r="E862">
        <v>2</v>
      </c>
      <c r="F862">
        <v>0.2</v>
      </c>
      <c r="G862" t="s">
        <v>19</v>
      </c>
      <c r="H862" t="s">
        <v>15</v>
      </c>
      <c r="I862" t="s">
        <v>43</v>
      </c>
      <c r="J862" s="2">
        <f>Table1_1[[#This Row],[Sales]]-Table1_1[[#This Row],[Sales]]*Table1_1[[#This Row],[Discount]]</f>
        <v>397.18400000000003</v>
      </c>
      <c r="K862" s="1">
        <v>45781</v>
      </c>
      <c r="L862" s="11">
        <v>45783</v>
      </c>
      <c r="M862">
        <f>DATEDIF(Table1_1[[#This Row],[Order Date]],Table1_1[[#This Row],[Ship Date]],"D")</f>
        <v>2</v>
      </c>
    </row>
    <row r="863" spans="1:13" x14ac:dyDescent="0.35">
      <c r="A863" t="s">
        <v>1261</v>
      </c>
      <c r="B863" t="s">
        <v>270</v>
      </c>
      <c r="C863" t="s">
        <v>46</v>
      </c>
      <c r="D863" s="2">
        <v>3867.88</v>
      </c>
      <c r="E863">
        <v>3</v>
      </c>
      <c r="F863">
        <v>0.1</v>
      </c>
      <c r="G863" t="s">
        <v>14</v>
      </c>
      <c r="H863" t="s">
        <v>15</v>
      </c>
      <c r="I863" t="s">
        <v>16</v>
      </c>
      <c r="J863" s="2">
        <f>Table1_1[[#This Row],[Sales]]-Table1_1[[#This Row],[Sales]]*Table1_1[[#This Row],[Discount]]</f>
        <v>3481.0920000000001</v>
      </c>
      <c r="K863" s="1">
        <v>45373</v>
      </c>
      <c r="L863" s="11">
        <v>45376</v>
      </c>
      <c r="M863">
        <f>DATEDIF(Table1_1[[#This Row],[Order Date]],Table1_1[[#This Row],[Ship Date]],"D")</f>
        <v>3</v>
      </c>
    </row>
    <row r="864" spans="1:13" x14ac:dyDescent="0.35">
      <c r="A864" t="s">
        <v>1262</v>
      </c>
      <c r="B864" t="s">
        <v>391</v>
      </c>
      <c r="C864" t="s">
        <v>251</v>
      </c>
      <c r="D864" s="2">
        <v>3308.7</v>
      </c>
      <c r="E864">
        <v>5</v>
      </c>
      <c r="F864">
        <v>0</v>
      </c>
      <c r="G864" t="s">
        <v>14</v>
      </c>
      <c r="H864" t="s">
        <v>21</v>
      </c>
      <c r="I864" t="s">
        <v>20</v>
      </c>
      <c r="J864" s="2">
        <f>Table1_1[[#This Row],[Sales]]-Table1_1[[#This Row],[Sales]]*Table1_1[[#This Row],[Discount]]</f>
        <v>3308.7</v>
      </c>
      <c r="K864" s="1">
        <v>45479</v>
      </c>
      <c r="L864" s="11">
        <v>45483</v>
      </c>
      <c r="M864">
        <f>DATEDIF(Table1_1[[#This Row],[Order Date]],Table1_1[[#This Row],[Ship Date]],"D")</f>
        <v>4</v>
      </c>
    </row>
    <row r="865" spans="1:13" x14ac:dyDescent="0.35">
      <c r="A865" t="s">
        <v>1263</v>
      </c>
      <c r="B865" t="s">
        <v>201</v>
      </c>
      <c r="C865" t="s">
        <v>89</v>
      </c>
      <c r="D865" s="2">
        <v>4931.67</v>
      </c>
      <c r="E865">
        <v>8</v>
      </c>
      <c r="F865">
        <v>0.3</v>
      </c>
      <c r="G865" t="s">
        <v>14</v>
      </c>
      <c r="H865" t="s">
        <v>21</v>
      </c>
      <c r="I865" t="s">
        <v>43</v>
      </c>
      <c r="J865" s="2">
        <f>Table1_1[[#This Row],[Sales]]-Table1_1[[#This Row],[Sales]]*Table1_1[[#This Row],[Discount]]</f>
        <v>3452.1689999999999</v>
      </c>
      <c r="K865" s="1">
        <v>45219</v>
      </c>
      <c r="L865" s="11">
        <v>45226</v>
      </c>
      <c r="M865">
        <f>DATEDIF(Table1_1[[#This Row],[Order Date]],Table1_1[[#This Row],[Ship Date]],"D")</f>
        <v>7</v>
      </c>
    </row>
    <row r="866" spans="1:13" x14ac:dyDescent="0.35">
      <c r="A866" t="s">
        <v>1264</v>
      </c>
      <c r="B866" t="s">
        <v>107</v>
      </c>
      <c r="C866" t="s">
        <v>262</v>
      </c>
      <c r="D866" s="2">
        <v>4273.91</v>
      </c>
      <c r="E866">
        <v>3</v>
      </c>
      <c r="F866">
        <v>0</v>
      </c>
      <c r="G866" t="s">
        <v>14</v>
      </c>
      <c r="H866" t="s">
        <v>15</v>
      </c>
      <c r="I866" t="s">
        <v>20</v>
      </c>
      <c r="J866" s="2">
        <f>Table1_1[[#This Row],[Sales]]-Table1_1[[#This Row],[Sales]]*Table1_1[[#This Row],[Discount]]</f>
        <v>4273.91</v>
      </c>
      <c r="K866" s="1">
        <v>44996</v>
      </c>
      <c r="L866" s="11">
        <v>45002</v>
      </c>
      <c r="M866">
        <f>DATEDIF(Table1_1[[#This Row],[Order Date]],Table1_1[[#This Row],[Ship Date]],"D")</f>
        <v>6</v>
      </c>
    </row>
    <row r="867" spans="1:13" x14ac:dyDescent="0.35">
      <c r="A867" t="s">
        <v>1265</v>
      </c>
      <c r="B867" t="s">
        <v>840</v>
      </c>
      <c r="C867" t="s">
        <v>1012</v>
      </c>
      <c r="D867" s="2">
        <v>3213.29</v>
      </c>
      <c r="E867">
        <v>5</v>
      </c>
      <c r="F867">
        <v>0.3</v>
      </c>
      <c r="G867" t="s">
        <v>14</v>
      </c>
      <c r="H867" t="s">
        <v>15</v>
      </c>
      <c r="I867" t="s">
        <v>20</v>
      </c>
      <c r="J867" s="2">
        <f>Table1_1[[#This Row],[Sales]]-Table1_1[[#This Row],[Sales]]*Table1_1[[#This Row],[Discount]]</f>
        <v>2249.3029999999999</v>
      </c>
      <c r="K867" s="1">
        <v>45442</v>
      </c>
      <c r="L867" s="11">
        <v>45446</v>
      </c>
      <c r="M867">
        <f>DATEDIF(Table1_1[[#This Row],[Order Date]],Table1_1[[#This Row],[Ship Date]],"D")</f>
        <v>4</v>
      </c>
    </row>
    <row r="868" spans="1:13" x14ac:dyDescent="0.35">
      <c r="A868" t="s">
        <v>1266</v>
      </c>
      <c r="B868" t="s">
        <v>177</v>
      </c>
      <c r="C868" t="s">
        <v>487</v>
      </c>
      <c r="D868" s="2">
        <v>2768.47</v>
      </c>
      <c r="E868">
        <v>10</v>
      </c>
      <c r="F868">
        <v>0</v>
      </c>
      <c r="G868" t="s">
        <v>14</v>
      </c>
      <c r="H868" t="s">
        <v>15</v>
      </c>
      <c r="I868" t="s">
        <v>20</v>
      </c>
      <c r="J868" s="2">
        <f>Table1_1[[#This Row],[Sales]]-Table1_1[[#This Row],[Sales]]*Table1_1[[#This Row],[Discount]]</f>
        <v>2768.47</v>
      </c>
      <c r="K868" s="1">
        <v>45170</v>
      </c>
      <c r="L868" s="11">
        <v>45176</v>
      </c>
      <c r="M868">
        <f>DATEDIF(Table1_1[[#This Row],[Order Date]],Table1_1[[#This Row],[Ship Date]],"D")</f>
        <v>6</v>
      </c>
    </row>
    <row r="869" spans="1:13" x14ac:dyDescent="0.35">
      <c r="A869" t="s">
        <v>1267</v>
      </c>
      <c r="B869" t="s">
        <v>445</v>
      </c>
      <c r="C869" t="s">
        <v>68</v>
      </c>
      <c r="D869" s="2">
        <v>791.53</v>
      </c>
      <c r="E869">
        <v>5</v>
      </c>
      <c r="F869">
        <v>0.1</v>
      </c>
      <c r="G869" t="s">
        <v>14</v>
      </c>
      <c r="H869" t="s">
        <v>15</v>
      </c>
      <c r="I869" t="s">
        <v>16</v>
      </c>
      <c r="J869" s="2">
        <f>Table1_1[[#This Row],[Sales]]-Table1_1[[#This Row],[Sales]]*Table1_1[[#This Row],[Discount]]</f>
        <v>712.37699999999995</v>
      </c>
      <c r="K869" s="1">
        <v>45466</v>
      </c>
      <c r="L869" s="11">
        <v>45470</v>
      </c>
      <c r="M869">
        <f>DATEDIF(Table1_1[[#This Row],[Order Date]],Table1_1[[#This Row],[Ship Date]],"D")</f>
        <v>4</v>
      </c>
    </row>
    <row r="870" spans="1:13" x14ac:dyDescent="0.35">
      <c r="A870" t="s">
        <v>1268</v>
      </c>
      <c r="B870" t="s">
        <v>949</v>
      </c>
      <c r="C870" t="s">
        <v>68</v>
      </c>
      <c r="D870" s="2">
        <v>3077.48</v>
      </c>
      <c r="E870">
        <v>2</v>
      </c>
      <c r="F870">
        <v>0</v>
      </c>
      <c r="G870" t="s">
        <v>14</v>
      </c>
      <c r="H870" t="s">
        <v>15</v>
      </c>
      <c r="I870" t="s">
        <v>20</v>
      </c>
      <c r="J870" s="2">
        <f>Table1_1[[#This Row],[Sales]]-Table1_1[[#This Row],[Sales]]*Table1_1[[#This Row],[Discount]]</f>
        <v>3077.48</v>
      </c>
      <c r="K870" s="1">
        <v>45412</v>
      </c>
      <c r="L870" s="11">
        <v>45417</v>
      </c>
      <c r="M870">
        <f>DATEDIF(Table1_1[[#This Row],[Order Date]],Table1_1[[#This Row],[Ship Date]],"D")</f>
        <v>5</v>
      </c>
    </row>
    <row r="871" spans="1:13" x14ac:dyDescent="0.35">
      <c r="A871" t="s">
        <v>1269</v>
      </c>
      <c r="B871" t="s">
        <v>187</v>
      </c>
      <c r="C871" t="s">
        <v>281</v>
      </c>
      <c r="D871" s="2">
        <v>4367.18</v>
      </c>
      <c r="E871">
        <v>1</v>
      </c>
      <c r="F871">
        <v>0.2</v>
      </c>
      <c r="G871" t="s">
        <v>39</v>
      </c>
      <c r="H871" t="s">
        <v>15</v>
      </c>
      <c r="I871" t="s">
        <v>43</v>
      </c>
      <c r="J871" s="2">
        <f>Table1_1[[#This Row],[Sales]]-Table1_1[[#This Row],[Sales]]*Table1_1[[#This Row],[Discount]]</f>
        <v>3493.7440000000001</v>
      </c>
      <c r="K871" s="1">
        <v>45423</v>
      </c>
      <c r="L871" s="11">
        <v>45427</v>
      </c>
      <c r="M871">
        <f>DATEDIF(Table1_1[[#This Row],[Order Date]],Table1_1[[#This Row],[Ship Date]],"D")</f>
        <v>4</v>
      </c>
    </row>
    <row r="872" spans="1:13" x14ac:dyDescent="0.35">
      <c r="A872" t="s">
        <v>1270</v>
      </c>
      <c r="B872" t="s">
        <v>1242</v>
      </c>
      <c r="C872" t="s">
        <v>278</v>
      </c>
      <c r="D872" s="2">
        <v>1309.1500000000001</v>
      </c>
      <c r="E872">
        <v>10</v>
      </c>
      <c r="F872">
        <v>0.2</v>
      </c>
      <c r="G872" t="s">
        <v>14</v>
      </c>
      <c r="H872" t="s">
        <v>15</v>
      </c>
      <c r="I872" t="s">
        <v>43</v>
      </c>
      <c r="J872" s="2">
        <f>Table1_1[[#This Row],[Sales]]-Table1_1[[#This Row],[Sales]]*Table1_1[[#This Row],[Discount]]</f>
        <v>1047.3200000000002</v>
      </c>
      <c r="K872" s="1">
        <v>45426</v>
      </c>
      <c r="L872" s="11">
        <v>45433</v>
      </c>
      <c r="M872">
        <f>DATEDIF(Table1_1[[#This Row],[Order Date]],Table1_1[[#This Row],[Ship Date]],"D")</f>
        <v>7</v>
      </c>
    </row>
    <row r="873" spans="1:13" x14ac:dyDescent="0.35">
      <c r="A873" t="s">
        <v>1271</v>
      </c>
      <c r="B873" t="s">
        <v>1166</v>
      </c>
      <c r="C873" t="s">
        <v>251</v>
      </c>
      <c r="D873" s="2">
        <v>3362.82</v>
      </c>
      <c r="E873">
        <v>9</v>
      </c>
      <c r="F873">
        <v>0.1</v>
      </c>
      <c r="G873" t="s">
        <v>14</v>
      </c>
      <c r="H873" t="s">
        <v>21</v>
      </c>
      <c r="I873" t="s">
        <v>16</v>
      </c>
      <c r="J873" s="2">
        <f>Table1_1[[#This Row],[Sales]]-Table1_1[[#This Row],[Sales]]*Table1_1[[#This Row],[Discount]]</f>
        <v>3026.538</v>
      </c>
      <c r="K873" s="1">
        <v>45513</v>
      </c>
      <c r="L873" s="11">
        <v>45517</v>
      </c>
      <c r="M873">
        <f>DATEDIF(Table1_1[[#This Row],[Order Date]],Table1_1[[#This Row],[Ship Date]],"D")</f>
        <v>4</v>
      </c>
    </row>
    <row r="874" spans="1:13" x14ac:dyDescent="0.35">
      <c r="A874" t="s">
        <v>1272</v>
      </c>
      <c r="B874" t="s">
        <v>356</v>
      </c>
      <c r="C874" t="s">
        <v>376</v>
      </c>
      <c r="D874" s="2">
        <v>1981.02</v>
      </c>
      <c r="E874">
        <v>9</v>
      </c>
      <c r="F874">
        <v>0.3</v>
      </c>
      <c r="G874" t="s">
        <v>39</v>
      </c>
      <c r="H874" t="s">
        <v>15</v>
      </c>
      <c r="I874" t="s">
        <v>43</v>
      </c>
      <c r="J874" s="2">
        <f>Table1_1[[#This Row],[Sales]]-Table1_1[[#This Row],[Sales]]*Table1_1[[#This Row],[Discount]]</f>
        <v>1386.7139999999999</v>
      </c>
      <c r="K874" s="1">
        <v>45045</v>
      </c>
      <c r="L874" s="11">
        <v>45047</v>
      </c>
      <c r="M874">
        <f>DATEDIF(Table1_1[[#This Row],[Order Date]],Table1_1[[#This Row],[Ship Date]],"D")</f>
        <v>2</v>
      </c>
    </row>
    <row r="875" spans="1:13" x14ac:dyDescent="0.35">
      <c r="A875" t="s">
        <v>1273</v>
      </c>
      <c r="B875" t="s">
        <v>322</v>
      </c>
      <c r="C875" t="s">
        <v>278</v>
      </c>
      <c r="D875" s="2">
        <v>4893.17</v>
      </c>
      <c r="E875">
        <v>1</v>
      </c>
      <c r="F875">
        <v>0</v>
      </c>
      <c r="G875" t="s">
        <v>19</v>
      </c>
      <c r="H875" t="s">
        <v>15</v>
      </c>
      <c r="I875" t="s">
        <v>20</v>
      </c>
      <c r="J875" s="2">
        <f>Table1_1[[#This Row],[Sales]]-Table1_1[[#This Row],[Sales]]*Table1_1[[#This Row],[Discount]]</f>
        <v>4893.17</v>
      </c>
      <c r="K875" s="1">
        <v>45811</v>
      </c>
      <c r="L875" s="11">
        <v>45813</v>
      </c>
      <c r="M875">
        <f>DATEDIF(Table1_1[[#This Row],[Order Date]],Table1_1[[#This Row],[Ship Date]],"D")</f>
        <v>2</v>
      </c>
    </row>
    <row r="876" spans="1:13" x14ac:dyDescent="0.35">
      <c r="A876" t="s">
        <v>1274</v>
      </c>
      <c r="B876" t="s">
        <v>349</v>
      </c>
      <c r="C876" t="s">
        <v>278</v>
      </c>
      <c r="D876" s="2">
        <v>1510</v>
      </c>
      <c r="E876">
        <v>2</v>
      </c>
      <c r="F876">
        <v>0.3</v>
      </c>
      <c r="G876" t="s">
        <v>14</v>
      </c>
      <c r="H876" t="s">
        <v>15</v>
      </c>
      <c r="I876" t="s">
        <v>16</v>
      </c>
      <c r="J876" s="2">
        <f>Table1_1[[#This Row],[Sales]]-Table1_1[[#This Row],[Sales]]*Table1_1[[#This Row],[Discount]]</f>
        <v>1057</v>
      </c>
      <c r="K876" s="1">
        <v>45553</v>
      </c>
      <c r="L876" s="11">
        <v>45557</v>
      </c>
      <c r="M876">
        <f>DATEDIF(Table1_1[[#This Row],[Order Date]],Table1_1[[#This Row],[Ship Date]],"D")</f>
        <v>4</v>
      </c>
    </row>
    <row r="877" spans="1:13" x14ac:dyDescent="0.35">
      <c r="A877" t="s">
        <v>1275</v>
      </c>
      <c r="B877" t="s">
        <v>335</v>
      </c>
      <c r="C877" t="s">
        <v>268</v>
      </c>
      <c r="D877" s="2">
        <v>2612.4699999999998</v>
      </c>
      <c r="E877">
        <v>4</v>
      </c>
      <c r="F877">
        <v>0</v>
      </c>
      <c r="G877" t="s">
        <v>14</v>
      </c>
      <c r="H877" t="s">
        <v>21</v>
      </c>
      <c r="I877" t="s">
        <v>20</v>
      </c>
      <c r="J877" s="2">
        <f>Table1_1[[#This Row],[Sales]]-Table1_1[[#This Row],[Sales]]*Table1_1[[#This Row],[Discount]]</f>
        <v>2612.4699999999998</v>
      </c>
      <c r="K877" s="1">
        <v>45506</v>
      </c>
      <c r="L877" s="11">
        <v>45511</v>
      </c>
      <c r="M877">
        <f>DATEDIF(Table1_1[[#This Row],[Order Date]],Table1_1[[#This Row],[Ship Date]],"D")</f>
        <v>5</v>
      </c>
    </row>
    <row r="878" spans="1:13" x14ac:dyDescent="0.35">
      <c r="A878" t="s">
        <v>1276</v>
      </c>
      <c r="B878" t="s">
        <v>250</v>
      </c>
      <c r="C878" t="s">
        <v>229</v>
      </c>
      <c r="D878" s="2">
        <v>3838.58</v>
      </c>
      <c r="E878">
        <v>3</v>
      </c>
      <c r="F878">
        <v>0.3</v>
      </c>
      <c r="G878" t="s">
        <v>14</v>
      </c>
      <c r="H878" t="s">
        <v>21</v>
      </c>
      <c r="I878" t="s">
        <v>20</v>
      </c>
      <c r="J878" s="2">
        <f>Table1_1[[#This Row],[Sales]]-Table1_1[[#This Row],[Sales]]*Table1_1[[#This Row],[Discount]]</f>
        <v>2687.0060000000003</v>
      </c>
      <c r="K878" s="1">
        <v>45288</v>
      </c>
      <c r="L878" s="11">
        <v>45291</v>
      </c>
      <c r="M878">
        <f>DATEDIF(Table1_1[[#This Row],[Order Date]],Table1_1[[#This Row],[Ship Date]],"D")</f>
        <v>3</v>
      </c>
    </row>
    <row r="879" spans="1:13" x14ac:dyDescent="0.35">
      <c r="A879" t="s">
        <v>1277</v>
      </c>
      <c r="B879" t="s">
        <v>407</v>
      </c>
      <c r="C879" t="s">
        <v>458</v>
      </c>
      <c r="D879" s="2">
        <v>4404.6899999999996</v>
      </c>
      <c r="E879">
        <v>3</v>
      </c>
      <c r="F879">
        <v>0.3</v>
      </c>
      <c r="G879" t="s">
        <v>14</v>
      </c>
      <c r="H879" t="s">
        <v>21</v>
      </c>
      <c r="I879" t="s">
        <v>16</v>
      </c>
      <c r="J879" s="2">
        <f>Table1_1[[#This Row],[Sales]]-Table1_1[[#This Row],[Sales]]*Table1_1[[#This Row],[Discount]]</f>
        <v>3083.2829999999994</v>
      </c>
      <c r="K879" s="1">
        <v>44994</v>
      </c>
      <c r="L879" s="11">
        <v>44998</v>
      </c>
      <c r="M879">
        <f>DATEDIF(Table1_1[[#This Row],[Order Date]],Table1_1[[#This Row],[Ship Date]],"D")</f>
        <v>4</v>
      </c>
    </row>
    <row r="880" spans="1:13" x14ac:dyDescent="0.35">
      <c r="A880" t="s">
        <v>1278</v>
      </c>
      <c r="B880" t="s">
        <v>1279</v>
      </c>
      <c r="C880" t="s">
        <v>197</v>
      </c>
      <c r="D880" s="2">
        <v>1815.4</v>
      </c>
      <c r="E880">
        <v>9</v>
      </c>
      <c r="F880">
        <v>0</v>
      </c>
      <c r="G880" t="s">
        <v>14</v>
      </c>
      <c r="H880" t="s">
        <v>21</v>
      </c>
      <c r="I880" t="s">
        <v>20</v>
      </c>
      <c r="J880" s="2">
        <f>Table1_1[[#This Row],[Sales]]-Table1_1[[#This Row],[Sales]]*Table1_1[[#This Row],[Discount]]</f>
        <v>1815.4</v>
      </c>
      <c r="K880" s="1">
        <v>45405</v>
      </c>
      <c r="L880" s="11">
        <v>45408</v>
      </c>
      <c r="M880">
        <f>DATEDIF(Table1_1[[#This Row],[Order Date]],Table1_1[[#This Row],[Ship Date]],"D")</f>
        <v>3</v>
      </c>
    </row>
    <row r="881" spans="1:13" x14ac:dyDescent="0.35">
      <c r="A881" t="s">
        <v>1280</v>
      </c>
      <c r="B881" t="s">
        <v>84</v>
      </c>
      <c r="C881" t="s">
        <v>696</v>
      </c>
      <c r="D881" s="2">
        <v>4143.09</v>
      </c>
      <c r="E881">
        <v>8</v>
      </c>
      <c r="F881">
        <v>0.1</v>
      </c>
      <c r="G881" t="s">
        <v>14</v>
      </c>
      <c r="H881" t="s">
        <v>21</v>
      </c>
      <c r="I881" t="s">
        <v>16</v>
      </c>
      <c r="J881" s="2">
        <f>Table1_1[[#This Row],[Sales]]-Table1_1[[#This Row],[Sales]]*Table1_1[[#This Row],[Discount]]</f>
        <v>3728.7809999999999</v>
      </c>
      <c r="K881" s="1">
        <v>45735</v>
      </c>
      <c r="L881" s="11">
        <v>45736</v>
      </c>
      <c r="M881">
        <f>DATEDIF(Table1_1[[#This Row],[Order Date]],Table1_1[[#This Row],[Ship Date]],"D")</f>
        <v>1</v>
      </c>
    </row>
    <row r="882" spans="1:13" x14ac:dyDescent="0.35">
      <c r="A882" t="s">
        <v>1281</v>
      </c>
      <c r="B882" t="s">
        <v>117</v>
      </c>
      <c r="C882" t="s">
        <v>185</v>
      </c>
      <c r="D882" s="2">
        <v>4443.8999999999996</v>
      </c>
      <c r="E882">
        <v>8</v>
      </c>
      <c r="F882">
        <v>0</v>
      </c>
      <c r="G882" t="s">
        <v>19</v>
      </c>
      <c r="H882" t="s">
        <v>21</v>
      </c>
      <c r="I882" t="s">
        <v>16</v>
      </c>
      <c r="J882" s="2">
        <f>Table1_1[[#This Row],[Sales]]-Table1_1[[#This Row],[Sales]]*Table1_1[[#This Row],[Discount]]</f>
        <v>4443.8999999999996</v>
      </c>
      <c r="K882" s="1">
        <v>45445</v>
      </c>
      <c r="L882" s="11">
        <v>45450</v>
      </c>
      <c r="M882">
        <f>DATEDIF(Table1_1[[#This Row],[Order Date]],Table1_1[[#This Row],[Ship Date]],"D")</f>
        <v>5</v>
      </c>
    </row>
    <row r="883" spans="1:13" x14ac:dyDescent="0.35">
      <c r="A883" t="s">
        <v>1282</v>
      </c>
      <c r="B883" t="s">
        <v>431</v>
      </c>
      <c r="C883" t="s">
        <v>246</v>
      </c>
      <c r="D883" s="2">
        <v>2829.55</v>
      </c>
      <c r="E883">
        <v>4</v>
      </c>
      <c r="F883">
        <v>0.1</v>
      </c>
      <c r="G883" t="s">
        <v>14</v>
      </c>
      <c r="H883" t="s">
        <v>15</v>
      </c>
      <c r="I883" t="s">
        <v>16</v>
      </c>
      <c r="J883" s="2">
        <f>Table1_1[[#This Row],[Sales]]-Table1_1[[#This Row],[Sales]]*Table1_1[[#This Row],[Discount]]</f>
        <v>2546.5950000000003</v>
      </c>
      <c r="K883" s="1">
        <v>45596</v>
      </c>
      <c r="L883" s="11">
        <v>45597</v>
      </c>
      <c r="M883">
        <f>DATEDIF(Table1_1[[#This Row],[Order Date]],Table1_1[[#This Row],[Ship Date]],"D")</f>
        <v>1</v>
      </c>
    </row>
    <row r="884" spans="1:13" x14ac:dyDescent="0.35">
      <c r="A884" t="s">
        <v>1283</v>
      </c>
      <c r="B884" t="s">
        <v>120</v>
      </c>
      <c r="C884" t="s">
        <v>281</v>
      </c>
      <c r="D884" s="2">
        <v>671.69</v>
      </c>
      <c r="E884">
        <v>9</v>
      </c>
      <c r="F884">
        <v>0.3</v>
      </c>
      <c r="G884" t="s">
        <v>19</v>
      </c>
      <c r="H884" t="s">
        <v>15</v>
      </c>
      <c r="I884" t="s">
        <v>20</v>
      </c>
      <c r="J884" s="2">
        <f>Table1_1[[#This Row],[Sales]]-Table1_1[[#This Row],[Sales]]*Table1_1[[#This Row],[Discount]]</f>
        <v>470.18300000000005</v>
      </c>
      <c r="K884" s="1">
        <v>45650</v>
      </c>
      <c r="L884" s="11">
        <v>45657</v>
      </c>
      <c r="M884">
        <f>DATEDIF(Table1_1[[#This Row],[Order Date]],Table1_1[[#This Row],[Ship Date]],"D")</f>
        <v>7</v>
      </c>
    </row>
    <row r="885" spans="1:13" x14ac:dyDescent="0.35">
      <c r="A885" t="s">
        <v>1284</v>
      </c>
      <c r="B885" t="s">
        <v>335</v>
      </c>
      <c r="C885" t="s">
        <v>99</v>
      </c>
      <c r="D885" s="2">
        <v>1667.99</v>
      </c>
      <c r="E885">
        <v>6</v>
      </c>
      <c r="F885">
        <v>0.2</v>
      </c>
      <c r="G885" t="s">
        <v>19</v>
      </c>
      <c r="H885" t="s">
        <v>15</v>
      </c>
      <c r="I885" t="s">
        <v>43</v>
      </c>
      <c r="J885" s="2">
        <f>Table1_1[[#This Row],[Sales]]-Table1_1[[#This Row],[Sales]]*Table1_1[[#This Row],[Discount]]</f>
        <v>1334.3920000000001</v>
      </c>
      <c r="K885" s="1">
        <v>44948</v>
      </c>
      <c r="L885" s="11">
        <v>44949</v>
      </c>
      <c r="M885">
        <f>DATEDIF(Table1_1[[#This Row],[Order Date]],Table1_1[[#This Row],[Ship Date]],"D")</f>
        <v>1</v>
      </c>
    </row>
    <row r="886" spans="1:13" x14ac:dyDescent="0.35">
      <c r="A886" t="s">
        <v>1285</v>
      </c>
      <c r="B886" t="s">
        <v>971</v>
      </c>
      <c r="C886" t="s">
        <v>169</v>
      </c>
      <c r="D886" s="2">
        <v>2997.72</v>
      </c>
      <c r="E886">
        <v>3</v>
      </c>
      <c r="F886">
        <v>0</v>
      </c>
      <c r="G886" t="s">
        <v>14</v>
      </c>
      <c r="H886" t="s">
        <v>15</v>
      </c>
      <c r="I886" t="s">
        <v>20</v>
      </c>
      <c r="J886" s="2">
        <f>Table1_1[[#This Row],[Sales]]-Table1_1[[#This Row],[Sales]]*Table1_1[[#This Row],[Discount]]</f>
        <v>2997.72</v>
      </c>
      <c r="K886" s="1">
        <v>45375</v>
      </c>
      <c r="L886" s="11">
        <v>45381</v>
      </c>
      <c r="M886">
        <f>DATEDIF(Table1_1[[#This Row],[Order Date]],Table1_1[[#This Row],[Ship Date]],"D")</f>
        <v>6</v>
      </c>
    </row>
    <row r="887" spans="1:13" x14ac:dyDescent="0.35">
      <c r="A887" t="s">
        <v>1286</v>
      </c>
      <c r="B887" t="s">
        <v>410</v>
      </c>
      <c r="C887" t="s">
        <v>68</v>
      </c>
      <c r="D887" s="2">
        <v>2955.82</v>
      </c>
      <c r="E887">
        <v>1</v>
      </c>
      <c r="F887">
        <v>0.3</v>
      </c>
      <c r="G887" t="s">
        <v>14</v>
      </c>
      <c r="H887" t="s">
        <v>15</v>
      </c>
      <c r="I887" t="s">
        <v>43</v>
      </c>
      <c r="J887" s="2">
        <f>Table1_1[[#This Row],[Sales]]-Table1_1[[#This Row],[Sales]]*Table1_1[[#This Row],[Discount]]</f>
        <v>2069.0740000000001</v>
      </c>
      <c r="K887" s="1">
        <v>45587</v>
      </c>
      <c r="L887" s="11">
        <v>45590</v>
      </c>
      <c r="M887">
        <f>DATEDIF(Table1_1[[#This Row],[Order Date]],Table1_1[[#This Row],[Ship Date]],"D")</f>
        <v>3</v>
      </c>
    </row>
    <row r="888" spans="1:13" x14ac:dyDescent="0.35">
      <c r="A888" t="s">
        <v>1287</v>
      </c>
      <c r="B888" t="s">
        <v>284</v>
      </c>
      <c r="C888" t="s">
        <v>68</v>
      </c>
      <c r="D888" s="2">
        <v>3323.2</v>
      </c>
      <c r="E888">
        <v>8</v>
      </c>
      <c r="F888">
        <v>0.2</v>
      </c>
      <c r="G888" t="s">
        <v>39</v>
      </c>
      <c r="H888" t="s">
        <v>21</v>
      </c>
      <c r="I888" t="s">
        <v>43</v>
      </c>
      <c r="J888" s="2">
        <f>Table1_1[[#This Row],[Sales]]-Table1_1[[#This Row],[Sales]]*Table1_1[[#This Row],[Discount]]</f>
        <v>2658.56</v>
      </c>
      <c r="K888" s="1">
        <v>45071</v>
      </c>
      <c r="L888" s="11">
        <v>45073</v>
      </c>
      <c r="M888">
        <f>DATEDIF(Table1_1[[#This Row],[Order Date]],Table1_1[[#This Row],[Ship Date]],"D")</f>
        <v>2</v>
      </c>
    </row>
    <row r="889" spans="1:13" x14ac:dyDescent="0.35">
      <c r="A889" t="s">
        <v>1288</v>
      </c>
      <c r="B889" t="s">
        <v>1112</v>
      </c>
      <c r="C889" t="s">
        <v>259</v>
      </c>
      <c r="D889" s="2">
        <v>3602.02</v>
      </c>
      <c r="E889">
        <v>1</v>
      </c>
      <c r="F889">
        <v>0.3</v>
      </c>
      <c r="G889" t="s">
        <v>14</v>
      </c>
      <c r="H889" t="s">
        <v>15</v>
      </c>
      <c r="I889" t="s">
        <v>20</v>
      </c>
      <c r="J889" s="2">
        <f>Table1_1[[#This Row],[Sales]]-Table1_1[[#This Row],[Sales]]*Table1_1[[#This Row],[Discount]]</f>
        <v>2521.4139999999998</v>
      </c>
      <c r="K889" s="1">
        <v>45595</v>
      </c>
      <c r="L889" s="11">
        <v>45596</v>
      </c>
      <c r="M889">
        <f>DATEDIF(Table1_1[[#This Row],[Order Date]],Table1_1[[#This Row],[Ship Date]],"D")</f>
        <v>1</v>
      </c>
    </row>
    <row r="890" spans="1:13" x14ac:dyDescent="0.35">
      <c r="A890" t="s">
        <v>1289</v>
      </c>
      <c r="B890" t="s">
        <v>672</v>
      </c>
      <c r="C890" t="s">
        <v>354</v>
      </c>
      <c r="D890" s="2">
        <v>4348.7700000000004</v>
      </c>
      <c r="E890">
        <v>3</v>
      </c>
      <c r="F890">
        <v>0.3</v>
      </c>
      <c r="G890" t="s">
        <v>14</v>
      </c>
      <c r="H890" t="s">
        <v>15</v>
      </c>
      <c r="I890" t="s">
        <v>16</v>
      </c>
      <c r="J890" s="2">
        <f>Table1_1[[#This Row],[Sales]]-Table1_1[[#This Row],[Sales]]*Table1_1[[#This Row],[Discount]]</f>
        <v>3044.1390000000001</v>
      </c>
      <c r="K890" s="1">
        <v>45699</v>
      </c>
      <c r="L890" s="11">
        <v>45701</v>
      </c>
      <c r="M890">
        <f>DATEDIF(Table1_1[[#This Row],[Order Date]],Table1_1[[#This Row],[Ship Date]],"D")</f>
        <v>2</v>
      </c>
    </row>
    <row r="891" spans="1:13" x14ac:dyDescent="0.35">
      <c r="A891" t="s">
        <v>1290</v>
      </c>
      <c r="B891" t="s">
        <v>258</v>
      </c>
      <c r="C891" t="s">
        <v>207</v>
      </c>
      <c r="D891" s="2">
        <v>224.02</v>
      </c>
      <c r="E891">
        <v>2</v>
      </c>
      <c r="F891">
        <v>0.1</v>
      </c>
      <c r="G891" t="s">
        <v>19</v>
      </c>
      <c r="H891" t="s">
        <v>21</v>
      </c>
      <c r="I891" t="s">
        <v>43</v>
      </c>
      <c r="J891" s="2">
        <f>Table1_1[[#This Row],[Sales]]-Table1_1[[#This Row],[Sales]]*Table1_1[[#This Row],[Discount]]</f>
        <v>201.61799999999999</v>
      </c>
      <c r="K891" s="1">
        <v>45797</v>
      </c>
      <c r="L891" s="11">
        <v>45800</v>
      </c>
      <c r="M891">
        <f>DATEDIF(Table1_1[[#This Row],[Order Date]],Table1_1[[#This Row],[Ship Date]],"D")</f>
        <v>3</v>
      </c>
    </row>
    <row r="892" spans="1:13" x14ac:dyDescent="0.35">
      <c r="A892" t="s">
        <v>1291</v>
      </c>
      <c r="B892" t="s">
        <v>168</v>
      </c>
      <c r="C892" t="s">
        <v>65</v>
      </c>
      <c r="D892" s="2">
        <v>3219.77</v>
      </c>
      <c r="E892">
        <v>6</v>
      </c>
      <c r="F892">
        <v>0.1</v>
      </c>
      <c r="G892" t="s">
        <v>14</v>
      </c>
      <c r="H892" t="s">
        <v>21</v>
      </c>
      <c r="I892" t="s">
        <v>43</v>
      </c>
      <c r="J892" s="2">
        <f>Table1_1[[#This Row],[Sales]]-Table1_1[[#This Row],[Sales]]*Table1_1[[#This Row],[Discount]]</f>
        <v>2897.7930000000001</v>
      </c>
      <c r="K892" s="1">
        <v>45158</v>
      </c>
      <c r="L892" s="11">
        <v>45164</v>
      </c>
      <c r="M892">
        <f>DATEDIF(Table1_1[[#This Row],[Order Date]],Table1_1[[#This Row],[Ship Date]],"D")</f>
        <v>6</v>
      </c>
    </row>
    <row r="893" spans="1:13" x14ac:dyDescent="0.35">
      <c r="A893" t="s">
        <v>1292</v>
      </c>
      <c r="B893" t="s">
        <v>603</v>
      </c>
      <c r="C893" t="s">
        <v>441</v>
      </c>
      <c r="D893" s="2">
        <v>3706.07</v>
      </c>
      <c r="E893">
        <v>10</v>
      </c>
      <c r="F893">
        <v>0.2</v>
      </c>
      <c r="G893" t="s">
        <v>19</v>
      </c>
      <c r="H893" t="s">
        <v>15</v>
      </c>
      <c r="I893" t="s">
        <v>20</v>
      </c>
      <c r="J893" s="2">
        <f>Table1_1[[#This Row],[Sales]]-Table1_1[[#This Row],[Sales]]*Table1_1[[#This Row],[Discount]]</f>
        <v>2964.8560000000002</v>
      </c>
      <c r="K893" s="1">
        <v>45796</v>
      </c>
      <c r="L893" s="11">
        <v>45802</v>
      </c>
      <c r="M893">
        <f>DATEDIF(Table1_1[[#This Row],[Order Date]],Table1_1[[#This Row],[Ship Date]],"D")</f>
        <v>6</v>
      </c>
    </row>
    <row r="894" spans="1:13" x14ac:dyDescent="0.35">
      <c r="A894" t="s">
        <v>1293</v>
      </c>
      <c r="B894" t="s">
        <v>906</v>
      </c>
      <c r="C894" t="s">
        <v>329</v>
      </c>
      <c r="D894" s="2">
        <v>4768.08</v>
      </c>
      <c r="E894">
        <v>7</v>
      </c>
      <c r="F894">
        <v>0</v>
      </c>
      <c r="G894" t="s">
        <v>14</v>
      </c>
      <c r="H894" t="s">
        <v>21</v>
      </c>
      <c r="I894" t="s">
        <v>16</v>
      </c>
      <c r="J894" s="2">
        <f>Table1_1[[#This Row],[Sales]]-Table1_1[[#This Row],[Sales]]*Table1_1[[#This Row],[Discount]]</f>
        <v>4768.08</v>
      </c>
      <c r="K894" s="1">
        <v>45756</v>
      </c>
      <c r="L894" s="11">
        <v>45760</v>
      </c>
      <c r="M894">
        <f>DATEDIF(Table1_1[[#This Row],[Order Date]],Table1_1[[#This Row],[Ship Date]],"D")</f>
        <v>4</v>
      </c>
    </row>
    <row r="895" spans="1:13" x14ac:dyDescent="0.35">
      <c r="A895" t="s">
        <v>1294</v>
      </c>
      <c r="B895" t="s">
        <v>328</v>
      </c>
      <c r="C895" t="s">
        <v>31</v>
      </c>
      <c r="D895" s="2">
        <v>4670.1899999999996</v>
      </c>
      <c r="E895">
        <v>6</v>
      </c>
      <c r="F895">
        <v>0.1</v>
      </c>
      <c r="G895" t="s">
        <v>14</v>
      </c>
      <c r="H895" t="s">
        <v>15</v>
      </c>
      <c r="I895" t="s">
        <v>43</v>
      </c>
      <c r="J895" s="2">
        <f>Table1_1[[#This Row],[Sales]]-Table1_1[[#This Row],[Sales]]*Table1_1[[#This Row],[Discount]]</f>
        <v>4203.1709999999994</v>
      </c>
      <c r="K895" s="1">
        <v>44941</v>
      </c>
      <c r="L895" s="11">
        <v>44943</v>
      </c>
      <c r="M895">
        <f>DATEDIF(Table1_1[[#This Row],[Order Date]],Table1_1[[#This Row],[Ship Date]],"D")</f>
        <v>2</v>
      </c>
    </row>
    <row r="896" spans="1:13" x14ac:dyDescent="0.35">
      <c r="A896" t="s">
        <v>1295</v>
      </c>
      <c r="B896" t="s">
        <v>1115</v>
      </c>
      <c r="C896" t="s">
        <v>207</v>
      </c>
      <c r="D896" s="2">
        <v>4950.41</v>
      </c>
      <c r="E896">
        <v>9</v>
      </c>
      <c r="F896">
        <v>0.3</v>
      </c>
      <c r="G896" t="s">
        <v>14</v>
      </c>
      <c r="H896" t="s">
        <v>15</v>
      </c>
      <c r="I896" t="s">
        <v>20</v>
      </c>
      <c r="J896" s="2">
        <f>Table1_1[[#This Row],[Sales]]-Table1_1[[#This Row],[Sales]]*Table1_1[[#This Row],[Discount]]</f>
        <v>3465.2870000000003</v>
      </c>
      <c r="K896" s="1">
        <v>45497</v>
      </c>
      <c r="L896" s="11">
        <v>45502</v>
      </c>
      <c r="M896">
        <f>DATEDIF(Table1_1[[#This Row],[Order Date]],Table1_1[[#This Row],[Ship Date]],"D")</f>
        <v>5</v>
      </c>
    </row>
    <row r="897" spans="1:13" x14ac:dyDescent="0.35">
      <c r="A897" t="s">
        <v>1296</v>
      </c>
      <c r="B897" t="s">
        <v>12</v>
      </c>
      <c r="C897" t="s">
        <v>273</v>
      </c>
      <c r="D897" s="2">
        <v>3423.77</v>
      </c>
      <c r="E897">
        <v>1</v>
      </c>
      <c r="F897">
        <v>0.2</v>
      </c>
      <c r="G897" t="s">
        <v>39</v>
      </c>
      <c r="H897" t="s">
        <v>15</v>
      </c>
      <c r="I897" t="s">
        <v>43</v>
      </c>
      <c r="J897" s="2">
        <f>Table1_1[[#This Row],[Sales]]-Table1_1[[#This Row],[Sales]]*Table1_1[[#This Row],[Discount]]</f>
        <v>2739.0160000000001</v>
      </c>
      <c r="K897" s="1">
        <v>45468</v>
      </c>
      <c r="L897" s="11">
        <v>45469</v>
      </c>
      <c r="M897">
        <f>DATEDIF(Table1_1[[#This Row],[Order Date]],Table1_1[[#This Row],[Ship Date]],"D")</f>
        <v>1</v>
      </c>
    </row>
    <row r="898" spans="1:13" x14ac:dyDescent="0.35">
      <c r="A898" t="s">
        <v>1297</v>
      </c>
      <c r="B898" t="s">
        <v>107</v>
      </c>
      <c r="C898" t="s">
        <v>487</v>
      </c>
      <c r="D898" s="2">
        <v>3649.21</v>
      </c>
      <c r="E898">
        <v>4</v>
      </c>
      <c r="F898">
        <v>0.2</v>
      </c>
      <c r="G898" t="s">
        <v>14</v>
      </c>
      <c r="H898" t="s">
        <v>21</v>
      </c>
      <c r="I898" t="s">
        <v>43</v>
      </c>
      <c r="J898" s="2">
        <f>Table1_1[[#This Row],[Sales]]-Table1_1[[#This Row],[Sales]]*Table1_1[[#This Row],[Discount]]</f>
        <v>2919.3679999999999</v>
      </c>
      <c r="K898" s="1">
        <v>45317</v>
      </c>
      <c r="L898" s="11">
        <v>45319</v>
      </c>
      <c r="M898">
        <f>DATEDIF(Table1_1[[#This Row],[Order Date]],Table1_1[[#This Row],[Ship Date]],"D")</f>
        <v>2</v>
      </c>
    </row>
    <row r="899" spans="1:13" x14ac:dyDescent="0.35">
      <c r="A899" t="s">
        <v>1298</v>
      </c>
      <c r="B899" t="s">
        <v>1299</v>
      </c>
      <c r="C899" t="s">
        <v>293</v>
      </c>
      <c r="D899" s="2">
        <v>4968.71</v>
      </c>
      <c r="E899">
        <v>9</v>
      </c>
      <c r="F899">
        <v>0.1</v>
      </c>
      <c r="G899" t="s">
        <v>14</v>
      </c>
      <c r="H899" t="s">
        <v>21</v>
      </c>
      <c r="I899" t="s">
        <v>43</v>
      </c>
      <c r="J899" s="2">
        <f>Table1_1[[#This Row],[Sales]]-Table1_1[[#This Row],[Sales]]*Table1_1[[#This Row],[Discount]]</f>
        <v>4471.8389999999999</v>
      </c>
      <c r="K899" s="1">
        <v>45046</v>
      </c>
      <c r="L899" s="11">
        <v>45050</v>
      </c>
      <c r="M899">
        <f>DATEDIF(Table1_1[[#This Row],[Order Date]],Table1_1[[#This Row],[Ship Date]],"D")</f>
        <v>4</v>
      </c>
    </row>
    <row r="900" spans="1:13" x14ac:dyDescent="0.35">
      <c r="A900" t="s">
        <v>1300</v>
      </c>
      <c r="B900" t="s">
        <v>906</v>
      </c>
      <c r="C900" t="s">
        <v>226</v>
      </c>
      <c r="D900" s="2">
        <v>744.6</v>
      </c>
      <c r="E900">
        <v>1</v>
      </c>
      <c r="F900">
        <v>0.3</v>
      </c>
      <c r="G900" t="s">
        <v>14</v>
      </c>
      <c r="H900" t="s">
        <v>21</v>
      </c>
      <c r="I900" t="s">
        <v>43</v>
      </c>
      <c r="J900" s="2">
        <f>Table1_1[[#This Row],[Sales]]-Table1_1[[#This Row],[Sales]]*Table1_1[[#This Row],[Discount]]</f>
        <v>521.22</v>
      </c>
      <c r="K900" s="1">
        <v>45786</v>
      </c>
      <c r="L900" s="11">
        <v>45788</v>
      </c>
      <c r="M900">
        <f>DATEDIF(Table1_1[[#This Row],[Order Date]],Table1_1[[#This Row],[Ship Date]],"D")</f>
        <v>2</v>
      </c>
    </row>
    <row r="901" spans="1:13" x14ac:dyDescent="0.35">
      <c r="A901" t="s">
        <v>1301</v>
      </c>
      <c r="B901" t="s">
        <v>514</v>
      </c>
      <c r="C901" t="s">
        <v>34</v>
      </c>
      <c r="D901" s="2">
        <v>1115.8800000000001</v>
      </c>
      <c r="E901">
        <v>9</v>
      </c>
      <c r="F901">
        <v>0</v>
      </c>
      <c r="G901" t="s">
        <v>14</v>
      </c>
      <c r="H901" t="s">
        <v>21</v>
      </c>
      <c r="I901" t="s">
        <v>20</v>
      </c>
      <c r="J901" s="2">
        <f>Table1_1[[#This Row],[Sales]]-Table1_1[[#This Row],[Sales]]*Table1_1[[#This Row],[Discount]]</f>
        <v>1115.8800000000001</v>
      </c>
      <c r="K901" s="1">
        <v>45328</v>
      </c>
      <c r="L901" s="11">
        <v>45332</v>
      </c>
      <c r="M901">
        <f>DATEDIF(Table1_1[[#This Row],[Order Date]],Table1_1[[#This Row],[Ship Date]],"D")</f>
        <v>4</v>
      </c>
    </row>
    <row r="902" spans="1:13" x14ac:dyDescent="0.35">
      <c r="A902" t="s">
        <v>1302</v>
      </c>
      <c r="B902" t="s">
        <v>477</v>
      </c>
      <c r="C902" t="s">
        <v>169</v>
      </c>
      <c r="D902" s="2">
        <v>766.02</v>
      </c>
      <c r="E902">
        <v>10</v>
      </c>
      <c r="F902">
        <v>0.3</v>
      </c>
      <c r="G902" t="s">
        <v>14</v>
      </c>
      <c r="H902" t="s">
        <v>15</v>
      </c>
      <c r="I902" t="s">
        <v>20</v>
      </c>
      <c r="J902" s="2">
        <f>Table1_1[[#This Row],[Sales]]-Table1_1[[#This Row],[Sales]]*Table1_1[[#This Row],[Discount]]</f>
        <v>536.21399999999994</v>
      </c>
      <c r="K902" s="1">
        <v>45062</v>
      </c>
      <c r="L902" s="11">
        <v>45068</v>
      </c>
      <c r="M902">
        <f>DATEDIF(Table1_1[[#This Row],[Order Date]],Table1_1[[#This Row],[Ship Date]],"D")</f>
        <v>6</v>
      </c>
    </row>
    <row r="903" spans="1:13" x14ac:dyDescent="0.35">
      <c r="A903" t="s">
        <v>1303</v>
      </c>
      <c r="B903" t="s">
        <v>124</v>
      </c>
      <c r="C903" t="s">
        <v>229</v>
      </c>
      <c r="D903" s="2">
        <v>2026.82</v>
      </c>
      <c r="E903">
        <v>7</v>
      </c>
      <c r="F903">
        <v>0.3</v>
      </c>
      <c r="G903" t="s">
        <v>19</v>
      </c>
      <c r="H903" t="s">
        <v>15</v>
      </c>
      <c r="I903" t="s">
        <v>20</v>
      </c>
      <c r="J903" s="2">
        <f>Table1_1[[#This Row],[Sales]]-Table1_1[[#This Row],[Sales]]*Table1_1[[#This Row],[Discount]]</f>
        <v>1418.7739999999999</v>
      </c>
      <c r="K903" s="1">
        <v>45357</v>
      </c>
      <c r="L903" s="11">
        <v>45363</v>
      </c>
      <c r="M903">
        <f>DATEDIF(Table1_1[[#This Row],[Order Date]],Table1_1[[#This Row],[Ship Date]],"D")</f>
        <v>6</v>
      </c>
    </row>
    <row r="904" spans="1:13" x14ac:dyDescent="0.35">
      <c r="A904" t="s">
        <v>1304</v>
      </c>
      <c r="B904" t="s">
        <v>56</v>
      </c>
      <c r="C904" t="s">
        <v>223</v>
      </c>
      <c r="D904" s="2">
        <v>4880.41</v>
      </c>
      <c r="E904">
        <v>2</v>
      </c>
      <c r="F904">
        <v>0.1</v>
      </c>
      <c r="G904" t="s">
        <v>39</v>
      </c>
      <c r="H904" t="s">
        <v>15</v>
      </c>
      <c r="I904" t="s">
        <v>43</v>
      </c>
      <c r="J904" s="2">
        <f>Table1_1[[#This Row],[Sales]]-Table1_1[[#This Row],[Sales]]*Table1_1[[#This Row],[Discount]]</f>
        <v>4392.3689999999997</v>
      </c>
      <c r="K904" s="1">
        <v>45421</v>
      </c>
      <c r="L904" s="11">
        <v>45424</v>
      </c>
      <c r="M904">
        <f>DATEDIF(Table1_1[[#This Row],[Order Date]],Table1_1[[#This Row],[Ship Date]],"D")</f>
        <v>3</v>
      </c>
    </row>
    <row r="905" spans="1:13" x14ac:dyDescent="0.35">
      <c r="A905" t="s">
        <v>1305</v>
      </c>
      <c r="B905" t="s">
        <v>599</v>
      </c>
      <c r="C905" t="s">
        <v>820</v>
      </c>
      <c r="D905" s="2">
        <v>576.46</v>
      </c>
      <c r="E905">
        <v>8</v>
      </c>
      <c r="F905">
        <v>0.3</v>
      </c>
      <c r="G905" t="s">
        <v>39</v>
      </c>
      <c r="H905" t="s">
        <v>21</v>
      </c>
      <c r="I905" t="s">
        <v>16</v>
      </c>
      <c r="J905" s="2">
        <f>Table1_1[[#This Row],[Sales]]-Table1_1[[#This Row],[Sales]]*Table1_1[[#This Row],[Discount]]</f>
        <v>403.52200000000005</v>
      </c>
      <c r="K905" s="1">
        <v>45545</v>
      </c>
      <c r="L905" s="11">
        <v>45546</v>
      </c>
      <c r="M905">
        <f>DATEDIF(Table1_1[[#This Row],[Order Date]],Table1_1[[#This Row],[Ship Date]],"D")</f>
        <v>1</v>
      </c>
    </row>
    <row r="906" spans="1:13" x14ac:dyDescent="0.35">
      <c r="A906" t="s">
        <v>1306</v>
      </c>
      <c r="B906" t="s">
        <v>1307</v>
      </c>
      <c r="C906" t="s">
        <v>246</v>
      </c>
      <c r="D906" s="2">
        <v>1527.97</v>
      </c>
      <c r="E906">
        <v>5</v>
      </c>
      <c r="F906">
        <v>0.1</v>
      </c>
      <c r="G906" t="s">
        <v>39</v>
      </c>
      <c r="H906" t="s">
        <v>15</v>
      </c>
      <c r="I906" t="s">
        <v>16</v>
      </c>
      <c r="J906" s="2">
        <f>Table1_1[[#This Row],[Sales]]-Table1_1[[#This Row],[Sales]]*Table1_1[[#This Row],[Discount]]</f>
        <v>1375.173</v>
      </c>
      <c r="K906" s="1">
        <v>45807</v>
      </c>
      <c r="L906" s="11">
        <v>45811</v>
      </c>
      <c r="M906">
        <f>DATEDIF(Table1_1[[#This Row],[Order Date]],Table1_1[[#This Row],[Ship Date]],"D")</f>
        <v>4</v>
      </c>
    </row>
    <row r="907" spans="1:13" x14ac:dyDescent="0.35">
      <c r="A907" t="s">
        <v>1308</v>
      </c>
      <c r="B907" t="s">
        <v>1279</v>
      </c>
      <c r="C907" t="s">
        <v>211</v>
      </c>
      <c r="D907" s="2">
        <v>2741.59</v>
      </c>
      <c r="E907">
        <v>2</v>
      </c>
      <c r="F907">
        <v>0</v>
      </c>
      <c r="G907" t="s">
        <v>19</v>
      </c>
      <c r="H907" t="s">
        <v>21</v>
      </c>
      <c r="I907" t="s">
        <v>20</v>
      </c>
      <c r="J907" s="2">
        <f>Table1_1[[#This Row],[Sales]]-Table1_1[[#This Row],[Sales]]*Table1_1[[#This Row],[Discount]]</f>
        <v>2741.59</v>
      </c>
      <c r="K907" s="1">
        <v>45260</v>
      </c>
      <c r="L907" s="11">
        <v>45262</v>
      </c>
      <c r="M907">
        <f>DATEDIF(Table1_1[[#This Row],[Order Date]],Table1_1[[#This Row],[Ship Date]],"D")</f>
        <v>2</v>
      </c>
    </row>
    <row r="908" spans="1:13" x14ac:dyDescent="0.35">
      <c r="A908" t="s">
        <v>1309</v>
      </c>
      <c r="B908" t="s">
        <v>380</v>
      </c>
      <c r="C908" t="s">
        <v>148</v>
      </c>
      <c r="D908" s="2">
        <v>4232.8999999999996</v>
      </c>
      <c r="E908">
        <v>6</v>
      </c>
      <c r="F908">
        <v>0</v>
      </c>
      <c r="G908" t="s">
        <v>39</v>
      </c>
      <c r="H908" t="s">
        <v>15</v>
      </c>
      <c r="I908" t="s">
        <v>16</v>
      </c>
      <c r="J908" s="2">
        <f>Table1_1[[#This Row],[Sales]]-Table1_1[[#This Row],[Sales]]*Table1_1[[#This Row],[Discount]]</f>
        <v>4232.8999999999996</v>
      </c>
      <c r="K908" s="1">
        <v>45430</v>
      </c>
      <c r="L908" s="11">
        <v>45435</v>
      </c>
      <c r="M908">
        <f>DATEDIF(Table1_1[[#This Row],[Order Date]],Table1_1[[#This Row],[Ship Date]],"D")</f>
        <v>5</v>
      </c>
    </row>
    <row r="909" spans="1:13" x14ac:dyDescent="0.35">
      <c r="A909" t="s">
        <v>1310</v>
      </c>
      <c r="B909" t="s">
        <v>876</v>
      </c>
      <c r="C909" t="s">
        <v>234</v>
      </c>
      <c r="D909" s="2">
        <v>476</v>
      </c>
      <c r="E909">
        <v>10</v>
      </c>
      <c r="F909">
        <v>0.1</v>
      </c>
      <c r="G909" t="s">
        <v>39</v>
      </c>
      <c r="H909" t="s">
        <v>21</v>
      </c>
      <c r="I909" t="s">
        <v>20</v>
      </c>
      <c r="J909" s="2">
        <f>Table1_1[[#This Row],[Sales]]-Table1_1[[#This Row],[Sales]]*Table1_1[[#This Row],[Discount]]</f>
        <v>428.4</v>
      </c>
      <c r="K909" s="1">
        <v>45034</v>
      </c>
      <c r="L909" s="11">
        <v>45035</v>
      </c>
      <c r="M909">
        <f>DATEDIF(Table1_1[[#This Row],[Order Date]],Table1_1[[#This Row],[Ship Date]],"D")</f>
        <v>1</v>
      </c>
    </row>
    <row r="910" spans="1:13" x14ac:dyDescent="0.35">
      <c r="A910" t="s">
        <v>1311</v>
      </c>
      <c r="B910" t="s">
        <v>45</v>
      </c>
      <c r="C910" t="s">
        <v>68</v>
      </c>
      <c r="D910" s="2">
        <v>4003.68</v>
      </c>
      <c r="E910">
        <v>2</v>
      </c>
      <c r="F910">
        <v>0.2</v>
      </c>
      <c r="G910" t="s">
        <v>14</v>
      </c>
      <c r="H910" t="s">
        <v>15</v>
      </c>
      <c r="I910" t="s">
        <v>16</v>
      </c>
      <c r="J910" s="2">
        <f>Table1_1[[#This Row],[Sales]]-Table1_1[[#This Row],[Sales]]*Table1_1[[#This Row],[Discount]]</f>
        <v>3202.944</v>
      </c>
      <c r="K910" s="1">
        <v>44996</v>
      </c>
      <c r="L910" s="11">
        <v>44998</v>
      </c>
      <c r="M910">
        <f>DATEDIF(Table1_1[[#This Row],[Order Date]],Table1_1[[#This Row],[Ship Date]],"D")</f>
        <v>2</v>
      </c>
    </row>
    <row r="911" spans="1:13" x14ac:dyDescent="0.35">
      <c r="A911" t="s">
        <v>1312</v>
      </c>
      <c r="B911" t="s">
        <v>88</v>
      </c>
      <c r="C911" t="s">
        <v>217</v>
      </c>
      <c r="D911" s="2">
        <v>4991.79</v>
      </c>
      <c r="E911">
        <v>8</v>
      </c>
      <c r="F911">
        <v>0.1</v>
      </c>
      <c r="G911" t="s">
        <v>14</v>
      </c>
      <c r="H911" t="s">
        <v>21</v>
      </c>
      <c r="I911" t="s">
        <v>20</v>
      </c>
      <c r="J911" s="2">
        <f>Table1_1[[#This Row],[Sales]]-Table1_1[[#This Row],[Sales]]*Table1_1[[#This Row],[Discount]]</f>
        <v>4492.6109999999999</v>
      </c>
      <c r="K911" s="1">
        <v>45791</v>
      </c>
      <c r="L911" s="11">
        <v>45792</v>
      </c>
      <c r="M911">
        <f>DATEDIF(Table1_1[[#This Row],[Order Date]],Table1_1[[#This Row],[Ship Date]],"D")</f>
        <v>1</v>
      </c>
    </row>
    <row r="912" spans="1:13" x14ac:dyDescent="0.35">
      <c r="A912" t="s">
        <v>1313</v>
      </c>
      <c r="B912" t="s">
        <v>594</v>
      </c>
      <c r="C912" t="s">
        <v>60</v>
      </c>
      <c r="D912" s="2">
        <v>4937.51</v>
      </c>
      <c r="E912">
        <v>1</v>
      </c>
      <c r="F912">
        <v>0</v>
      </c>
      <c r="G912" t="s">
        <v>14</v>
      </c>
      <c r="H912" t="s">
        <v>15</v>
      </c>
      <c r="I912" t="s">
        <v>20</v>
      </c>
      <c r="J912" s="2">
        <f>Table1_1[[#This Row],[Sales]]-Table1_1[[#This Row],[Sales]]*Table1_1[[#This Row],[Discount]]</f>
        <v>4937.51</v>
      </c>
      <c r="K912" s="1">
        <v>45487</v>
      </c>
      <c r="L912" s="11">
        <v>45489</v>
      </c>
      <c r="M912">
        <f>DATEDIF(Table1_1[[#This Row],[Order Date]],Table1_1[[#This Row],[Ship Date]],"D")</f>
        <v>2</v>
      </c>
    </row>
    <row r="913" spans="1:13" x14ac:dyDescent="0.35">
      <c r="A913" t="s">
        <v>1314</v>
      </c>
      <c r="B913" t="s">
        <v>165</v>
      </c>
      <c r="C913" t="s">
        <v>190</v>
      </c>
      <c r="D913" s="2">
        <v>2667.34</v>
      </c>
      <c r="E913">
        <v>6</v>
      </c>
      <c r="F913">
        <v>0</v>
      </c>
      <c r="G913" t="s">
        <v>19</v>
      </c>
      <c r="H913" t="s">
        <v>21</v>
      </c>
      <c r="I913" t="s">
        <v>16</v>
      </c>
      <c r="J913" s="2">
        <f>Table1_1[[#This Row],[Sales]]-Table1_1[[#This Row],[Sales]]*Table1_1[[#This Row],[Discount]]</f>
        <v>2667.34</v>
      </c>
      <c r="K913" s="1">
        <v>45564</v>
      </c>
      <c r="L913" s="11">
        <v>45571</v>
      </c>
      <c r="M913">
        <f>DATEDIF(Table1_1[[#This Row],[Order Date]],Table1_1[[#This Row],[Ship Date]],"D")</f>
        <v>7</v>
      </c>
    </row>
    <row r="914" spans="1:13" x14ac:dyDescent="0.35">
      <c r="A914" t="s">
        <v>1315</v>
      </c>
      <c r="B914" t="s">
        <v>171</v>
      </c>
      <c r="C914" t="s">
        <v>166</v>
      </c>
      <c r="D914" s="2">
        <v>594.54</v>
      </c>
      <c r="E914">
        <v>7</v>
      </c>
      <c r="F914">
        <v>0.2</v>
      </c>
      <c r="G914" t="s">
        <v>14</v>
      </c>
      <c r="H914" t="s">
        <v>21</v>
      </c>
      <c r="I914" t="s">
        <v>43</v>
      </c>
      <c r="J914" s="2">
        <f>Table1_1[[#This Row],[Sales]]-Table1_1[[#This Row],[Sales]]*Table1_1[[#This Row],[Discount]]</f>
        <v>475.63199999999995</v>
      </c>
      <c r="K914" s="1">
        <v>45100</v>
      </c>
      <c r="L914" s="11">
        <v>45103</v>
      </c>
      <c r="M914">
        <f>DATEDIF(Table1_1[[#This Row],[Order Date]],Table1_1[[#This Row],[Ship Date]],"D")</f>
        <v>3</v>
      </c>
    </row>
    <row r="915" spans="1:13" x14ac:dyDescent="0.35">
      <c r="A915" t="s">
        <v>1316</v>
      </c>
      <c r="B915" t="s">
        <v>632</v>
      </c>
      <c r="C915" t="s">
        <v>77</v>
      </c>
      <c r="D915" s="2">
        <v>882.57</v>
      </c>
      <c r="E915">
        <v>4</v>
      </c>
      <c r="F915">
        <v>0.3</v>
      </c>
      <c r="G915" t="s">
        <v>14</v>
      </c>
      <c r="H915" t="s">
        <v>15</v>
      </c>
      <c r="I915" t="s">
        <v>16</v>
      </c>
      <c r="J915" s="2">
        <f>Table1_1[[#This Row],[Sales]]-Table1_1[[#This Row],[Sales]]*Table1_1[[#This Row],[Discount]]</f>
        <v>617.79899999999998</v>
      </c>
      <c r="K915" s="1">
        <v>45228</v>
      </c>
      <c r="L915" s="11">
        <v>45234</v>
      </c>
      <c r="M915">
        <f>DATEDIF(Table1_1[[#This Row],[Order Date]],Table1_1[[#This Row],[Ship Date]],"D")</f>
        <v>6</v>
      </c>
    </row>
    <row r="916" spans="1:13" x14ac:dyDescent="0.35">
      <c r="A916" t="s">
        <v>1317</v>
      </c>
      <c r="B916" t="s">
        <v>1073</v>
      </c>
      <c r="C916" t="s">
        <v>278</v>
      </c>
      <c r="D916" s="2">
        <v>4604.18</v>
      </c>
      <c r="E916">
        <v>10</v>
      </c>
      <c r="F916">
        <v>0.3</v>
      </c>
      <c r="G916" t="s">
        <v>14</v>
      </c>
      <c r="H916" t="s">
        <v>15</v>
      </c>
      <c r="I916" t="s">
        <v>43</v>
      </c>
      <c r="J916" s="2">
        <f>Table1_1[[#This Row],[Sales]]-Table1_1[[#This Row],[Sales]]*Table1_1[[#This Row],[Discount]]</f>
        <v>3222.9260000000004</v>
      </c>
      <c r="K916" s="1">
        <v>45383</v>
      </c>
      <c r="L916" s="11">
        <v>45384</v>
      </c>
      <c r="M916">
        <f>DATEDIF(Table1_1[[#This Row],[Order Date]],Table1_1[[#This Row],[Ship Date]],"D")</f>
        <v>1</v>
      </c>
    </row>
    <row r="917" spans="1:13" x14ac:dyDescent="0.35">
      <c r="A917" t="s">
        <v>1318</v>
      </c>
      <c r="B917" t="s">
        <v>365</v>
      </c>
      <c r="C917" t="s">
        <v>285</v>
      </c>
      <c r="D917" s="2">
        <v>975.58</v>
      </c>
      <c r="E917">
        <v>6</v>
      </c>
      <c r="F917">
        <v>0.3</v>
      </c>
      <c r="G917" t="s">
        <v>19</v>
      </c>
      <c r="H917" t="s">
        <v>21</v>
      </c>
      <c r="I917" t="s">
        <v>20</v>
      </c>
      <c r="J917" s="2">
        <f>Table1_1[[#This Row],[Sales]]-Table1_1[[#This Row],[Sales]]*Table1_1[[#This Row],[Discount]]</f>
        <v>682.90600000000006</v>
      </c>
      <c r="K917" s="1">
        <v>44961</v>
      </c>
      <c r="L917" s="11">
        <v>44968</v>
      </c>
      <c r="M917">
        <f>DATEDIF(Table1_1[[#This Row],[Order Date]],Table1_1[[#This Row],[Ship Date]],"D")</f>
        <v>7</v>
      </c>
    </row>
    <row r="918" spans="1:13" x14ac:dyDescent="0.35">
      <c r="A918" t="s">
        <v>1319</v>
      </c>
      <c r="B918" t="s">
        <v>594</v>
      </c>
      <c r="C918" t="s">
        <v>68</v>
      </c>
      <c r="D918" s="2">
        <v>4870.1400000000003</v>
      </c>
      <c r="E918">
        <v>7</v>
      </c>
      <c r="F918">
        <v>0.2</v>
      </c>
      <c r="G918" t="s">
        <v>19</v>
      </c>
      <c r="H918" t="s">
        <v>15</v>
      </c>
      <c r="I918" t="s">
        <v>43</v>
      </c>
      <c r="J918" s="2">
        <f>Table1_1[[#This Row],[Sales]]-Table1_1[[#This Row],[Sales]]*Table1_1[[#This Row],[Discount]]</f>
        <v>3896.1120000000001</v>
      </c>
      <c r="K918" s="1">
        <v>45256</v>
      </c>
      <c r="L918" s="11">
        <v>45259</v>
      </c>
      <c r="M918">
        <f>DATEDIF(Table1_1[[#This Row],[Order Date]],Table1_1[[#This Row],[Ship Date]],"D")</f>
        <v>3</v>
      </c>
    </row>
    <row r="919" spans="1:13" x14ac:dyDescent="0.35">
      <c r="A919" t="s">
        <v>1320</v>
      </c>
      <c r="B919" t="s">
        <v>1034</v>
      </c>
      <c r="C919" t="s">
        <v>265</v>
      </c>
      <c r="D919" s="2">
        <v>3008.44</v>
      </c>
      <c r="E919">
        <v>5</v>
      </c>
      <c r="F919">
        <v>0.1</v>
      </c>
      <c r="G919" t="s">
        <v>14</v>
      </c>
      <c r="H919" t="s">
        <v>15</v>
      </c>
      <c r="I919" t="s">
        <v>20</v>
      </c>
      <c r="J919" s="2">
        <f>Table1_1[[#This Row],[Sales]]-Table1_1[[#This Row],[Sales]]*Table1_1[[#This Row],[Discount]]</f>
        <v>2707.596</v>
      </c>
      <c r="K919" s="1">
        <v>45634</v>
      </c>
      <c r="L919" s="11">
        <v>45637</v>
      </c>
      <c r="M919">
        <f>DATEDIF(Table1_1[[#This Row],[Order Date]],Table1_1[[#This Row],[Ship Date]],"D")</f>
        <v>3</v>
      </c>
    </row>
    <row r="920" spans="1:13" x14ac:dyDescent="0.35">
      <c r="A920" t="s">
        <v>1321</v>
      </c>
      <c r="B920" t="s">
        <v>618</v>
      </c>
      <c r="C920" t="s">
        <v>281</v>
      </c>
      <c r="D920" s="2">
        <v>4525.83</v>
      </c>
      <c r="E920">
        <v>5</v>
      </c>
      <c r="F920">
        <v>0.2</v>
      </c>
      <c r="G920" t="s">
        <v>39</v>
      </c>
      <c r="H920" t="s">
        <v>21</v>
      </c>
      <c r="I920" t="s">
        <v>43</v>
      </c>
      <c r="J920" s="2">
        <f>Table1_1[[#This Row],[Sales]]-Table1_1[[#This Row],[Sales]]*Table1_1[[#This Row],[Discount]]</f>
        <v>3620.6639999999998</v>
      </c>
      <c r="K920" s="1">
        <v>45770</v>
      </c>
      <c r="L920" s="11">
        <v>45777</v>
      </c>
      <c r="M920">
        <f>DATEDIF(Table1_1[[#This Row],[Order Date]],Table1_1[[#This Row],[Ship Date]],"D")</f>
        <v>7</v>
      </c>
    </row>
    <row r="921" spans="1:13" x14ac:dyDescent="0.35">
      <c r="A921" t="s">
        <v>1322</v>
      </c>
      <c r="B921" t="s">
        <v>1248</v>
      </c>
      <c r="C921" t="s">
        <v>293</v>
      </c>
      <c r="D921" s="2">
        <v>1059.6500000000001</v>
      </c>
      <c r="E921">
        <v>10</v>
      </c>
      <c r="F921">
        <v>0.2</v>
      </c>
      <c r="G921" t="s">
        <v>14</v>
      </c>
      <c r="H921" t="s">
        <v>21</v>
      </c>
      <c r="I921" t="s">
        <v>16</v>
      </c>
      <c r="J921" s="2">
        <f>Table1_1[[#This Row],[Sales]]-Table1_1[[#This Row],[Sales]]*Table1_1[[#This Row],[Discount]]</f>
        <v>847.72</v>
      </c>
      <c r="K921" s="1">
        <v>45033</v>
      </c>
      <c r="L921" s="11">
        <v>45039</v>
      </c>
      <c r="M921">
        <f>DATEDIF(Table1_1[[#This Row],[Order Date]],Table1_1[[#This Row],[Ship Date]],"D")</f>
        <v>6</v>
      </c>
    </row>
    <row r="922" spans="1:13" x14ac:dyDescent="0.35">
      <c r="A922" t="s">
        <v>1323</v>
      </c>
      <c r="B922" t="s">
        <v>30</v>
      </c>
      <c r="C922" t="s">
        <v>207</v>
      </c>
      <c r="D922" s="2">
        <v>699.41</v>
      </c>
      <c r="E922">
        <v>3</v>
      </c>
      <c r="F922">
        <v>0.2</v>
      </c>
      <c r="G922" t="s">
        <v>19</v>
      </c>
      <c r="H922" t="s">
        <v>15</v>
      </c>
      <c r="I922" t="s">
        <v>16</v>
      </c>
      <c r="J922" s="2">
        <f>Table1_1[[#This Row],[Sales]]-Table1_1[[#This Row],[Sales]]*Table1_1[[#This Row],[Discount]]</f>
        <v>559.52800000000002</v>
      </c>
      <c r="K922" s="1">
        <v>45371</v>
      </c>
      <c r="L922" s="11">
        <v>45377</v>
      </c>
      <c r="M922">
        <f>DATEDIF(Table1_1[[#This Row],[Order Date]],Table1_1[[#This Row],[Ship Date]],"D")</f>
        <v>6</v>
      </c>
    </row>
    <row r="923" spans="1:13" x14ac:dyDescent="0.35">
      <c r="A923" t="s">
        <v>1324</v>
      </c>
      <c r="B923" t="s">
        <v>345</v>
      </c>
      <c r="C923" t="s">
        <v>214</v>
      </c>
      <c r="D923" s="2">
        <v>4021.48</v>
      </c>
      <c r="E923">
        <v>2</v>
      </c>
      <c r="F923">
        <v>0.2</v>
      </c>
      <c r="G923" t="s">
        <v>19</v>
      </c>
      <c r="H923" t="s">
        <v>21</v>
      </c>
      <c r="I923" t="s">
        <v>20</v>
      </c>
      <c r="J923" s="2">
        <f>Table1_1[[#This Row],[Sales]]-Table1_1[[#This Row],[Sales]]*Table1_1[[#This Row],[Discount]]</f>
        <v>3217.1840000000002</v>
      </c>
      <c r="K923" s="1">
        <v>45557</v>
      </c>
      <c r="L923" s="11">
        <v>45559</v>
      </c>
      <c r="M923">
        <f>DATEDIF(Table1_1[[#This Row],[Order Date]],Table1_1[[#This Row],[Ship Date]],"D")</f>
        <v>2</v>
      </c>
    </row>
    <row r="924" spans="1:13" x14ac:dyDescent="0.35">
      <c r="A924" t="s">
        <v>1325</v>
      </c>
      <c r="B924" t="s">
        <v>655</v>
      </c>
      <c r="C924" t="s">
        <v>487</v>
      </c>
      <c r="D924" s="2">
        <v>3698.42</v>
      </c>
      <c r="E924">
        <v>10</v>
      </c>
      <c r="F924">
        <v>0</v>
      </c>
      <c r="G924" t="s">
        <v>14</v>
      </c>
      <c r="H924" t="s">
        <v>21</v>
      </c>
      <c r="I924" t="s">
        <v>20</v>
      </c>
      <c r="J924" s="2">
        <f>Table1_1[[#This Row],[Sales]]-Table1_1[[#This Row],[Sales]]*Table1_1[[#This Row],[Discount]]</f>
        <v>3698.42</v>
      </c>
      <c r="K924" s="1">
        <v>44985</v>
      </c>
      <c r="L924" s="11">
        <v>44987</v>
      </c>
      <c r="M924">
        <f>DATEDIF(Table1_1[[#This Row],[Order Date]],Table1_1[[#This Row],[Ship Date]],"D")</f>
        <v>2</v>
      </c>
    </row>
    <row r="925" spans="1:13" x14ac:dyDescent="0.35">
      <c r="A925" t="s">
        <v>1326</v>
      </c>
      <c r="B925" t="s">
        <v>1299</v>
      </c>
      <c r="C925" t="s">
        <v>542</v>
      </c>
      <c r="D925" s="2">
        <v>1255.98</v>
      </c>
      <c r="E925">
        <v>5</v>
      </c>
      <c r="F925">
        <v>0.1</v>
      </c>
      <c r="G925" t="s">
        <v>19</v>
      </c>
      <c r="H925" t="s">
        <v>15</v>
      </c>
      <c r="I925" t="s">
        <v>20</v>
      </c>
      <c r="J925" s="2">
        <f>Table1_1[[#This Row],[Sales]]-Table1_1[[#This Row],[Sales]]*Table1_1[[#This Row],[Discount]]</f>
        <v>1130.3820000000001</v>
      </c>
      <c r="K925" s="1">
        <v>45018</v>
      </c>
      <c r="L925" s="11">
        <v>45025</v>
      </c>
      <c r="M925">
        <f>DATEDIF(Table1_1[[#This Row],[Order Date]],Table1_1[[#This Row],[Ship Date]],"D")</f>
        <v>7</v>
      </c>
    </row>
    <row r="926" spans="1:13" x14ac:dyDescent="0.35">
      <c r="A926" t="s">
        <v>1327</v>
      </c>
      <c r="B926" t="s">
        <v>45</v>
      </c>
      <c r="C926" t="s">
        <v>34</v>
      </c>
      <c r="D926" s="2">
        <v>4011</v>
      </c>
      <c r="E926">
        <v>7</v>
      </c>
      <c r="F926">
        <v>0</v>
      </c>
      <c r="G926" t="s">
        <v>14</v>
      </c>
      <c r="H926" t="s">
        <v>15</v>
      </c>
      <c r="I926" t="s">
        <v>20</v>
      </c>
      <c r="J926" s="2">
        <f>Table1_1[[#This Row],[Sales]]-Table1_1[[#This Row],[Sales]]*Table1_1[[#This Row],[Discount]]</f>
        <v>4011</v>
      </c>
      <c r="K926" s="1">
        <v>45255</v>
      </c>
      <c r="L926" s="11">
        <v>45258</v>
      </c>
      <c r="M926">
        <f>DATEDIF(Table1_1[[#This Row],[Order Date]],Table1_1[[#This Row],[Ship Date]],"D")</f>
        <v>3</v>
      </c>
    </row>
    <row r="927" spans="1:13" x14ac:dyDescent="0.35">
      <c r="A927" t="s">
        <v>1328</v>
      </c>
      <c r="B927" t="s">
        <v>1066</v>
      </c>
      <c r="C927" t="s">
        <v>251</v>
      </c>
      <c r="D927" s="2">
        <v>661.05</v>
      </c>
      <c r="E927">
        <v>6</v>
      </c>
      <c r="F927">
        <v>0.2</v>
      </c>
      <c r="G927" t="s">
        <v>14</v>
      </c>
      <c r="H927" t="s">
        <v>21</v>
      </c>
      <c r="I927" t="s">
        <v>20</v>
      </c>
      <c r="J927" s="2">
        <f>Table1_1[[#This Row],[Sales]]-Table1_1[[#This Row],[Sales]]*Table1_1[[#This Row],[Discount]]</f>
        <v>528.83999999999992</v>
      </c>
      <c r="K927" s="1">
        <v>45061</v>
      </c>
      <c r="L927" s="11">
        <v>45065</v>
      </c>
      <c r="M927">
        <f>DATEDIF(Table1_1[[#This Row],[Order Date]],Table1_1[[#This Row],[Ship Date]],"D")</f>
        <v>4</v>
      </c>
    </row>
    <row r="928" spans="1:13" x14ac:dyDescent="0.35">
      <c r="A928" t="s">
        <v>1329</v>
      </c>
      <c r="B928" t="s">
        <v>338</v>
      </c>
      <c r="C928" t="s">
        <v>756</v>
      </c>
      <c r="D928" s="2">
        <v>1556.78</v>
      </c>
      <c r="E928">
        <v>3</v>
      </c>
      <c r="F928">
        <v>0.2</v>
      </c>
      <c r="G928" t="s">
        <v>19</v>
      </c>
      <c r="H928" t="s">
        <v>21</v>
      </c>
      <c r="I928" t="s">
        <v>43</v>
      </c>
      <c r="J928" s="2">
        <f>Table1_1[[#This Row],[Sales]]-Table1_1[[#This Row],[Sales]]*Table1_1[[#This Row],[Discount]]</f>
        <v>1245.424</v>
      </c>
      <c r="K928" s="1">
        <v>44976</v>
      </c>
      <c r="L928" s="11">
        <v>44977</v>
      </c>
      <c r="M928">
        <f>DATEDIF(Table1_1[[#This Row],[Order Date]],Table1_1[[#This Row],[Ship Date]],"D")</f>
        <v>1</v>
      </c>
    </row>
    <row r="929" spans="1:13" x14ac:dyDescent="0.35">
      <c r="A929" t="s">
        <v>1330</v>
      </c>
      <c r="B929" t="s">
        <v>33</v>
      </c>
      <c r="C929" t="s">
        <v>293</v>
      </c>
      <c r="D929" s="2">
        <v>1736.74</v>
      </c>
      <c r="E929">
        <v>9</v>
      </c>
      <c r="F929">
        <v>0.2</v>
      </c>
      <c r="G929" t="s">
        <v>39</v>
      </c>
      <c r="H929" t="s">
        <v>15</v>
      </c>
      <c r="I929" t="s">
        <v>16</v>
      </c>
      <c r="J929" s="2">
        <f>Table1_1[[#This Row],[Sales]]-Table1_1[[#This Row],[Sales]]*Table1_1[[#This Row],[Discount]]</f>
        <v>1389.3920000000001</v>
      </c>
      <c r="K929" s="1">
        <v>45466</v>
      </c>
      <c r="L929" s="11">
        <v>45469</v>
      </c>
      <c r="M929">
        <f>DATEDIF(Table1_1[[#This Row],[Order Date]],Table1_1[[#This Row],[Ship Date]],"D")</f>
        <v>3</v>
      </c>
    </row>
    <row r="930" spans="1:13" x14ac:dyDescent="0.35">
      <c r="A930" t="s">
        <v>1331</v>
      </c>
      <c r="B930" t="s">
        <v>88</v>
      </c>
      <c r="C930" t="s">
        <v>180</v>
      </c>
      <c r="D930" s="2">
        <v>4407.3100000000004</v>
      </c>
      <c r="E930">
        <v>1</v>
      </c>
      <c r="F930">
        <v>0.3</v>
      </c>
      <c r="G930" t="s">
        <v>19</v>
      </c>
      <c r="H930" t="s">
        <v>15</v>
      </c>
      <c r="I930" t="s">
        <v>20</v>
      </c>
      <c r="J930" s="2">
        <f>Table1_1[[#This Row],[Sales]]-Table1_1[[#This Row],[Sales]]*Table1_1[[#This Row],[Discount]]</f>
        <v>3085.1170000000002</v>
      </c>
      <c r="K930" s="1">
        <v>45574</v>
      </c>
      <c r="L930" s="11">
        <v>45579</v>
      </c>
      <c r="M930">
        <f>DATEDIF(Table1_1[[#This Row],[Order Date]],Table1_1[[#This Row],[Ship Date]],"D")</f>
        <v>5</v>
      </c>
    </row>
    <row r="931" spans="1:13" x14ac:dyDescent="0.35">
      <c r="A931" t="s">
        <v>1332</v>
      </c>
      <c r="B931" t="s">
        <v>196</v>
      </c>
      <c r="C931" t="s">
        <v>820</v>
      </c>
      <c r="D931" s="2">
        <v>898.28</v>
      </c>
      <c r="E931">
        <v>8</v>
      </c>
      <c r="F931">
        <v>0.3</v>
      </c>
      <c r="G931" t="s">
        <v>14</v>
      </c>
      <c r="H931" t="s">
        <v>15</v>
      </c>
      <c r="I931" t="s">
        <v>16</v>
      </c>
      <c r="J931" s="2">
        <f>Table1_1[[#This Row],[Sales]]-Table1_1[[#This Row],[Sales]]*Table1_1[[#This Row],[Discount]]</f>
        <v>628.79600000000005</v>
      </c>
      <c r="K931" s="1">
        <v>45124</v>
      </c>
      <c r="L931" s="11">
        <v>45125</v>
      </c>
      <c r="M931">
        <f>DATEDIF(Table1_1[[#This Row],[Order Date]],Table1_1[[#This Row],[Ship Date]],"D")</f>
        <v>1</v>
      </c>
    </row>
    <row r="932" spans="1:13" x14ac:dyDescent="0.35">
      <c r="A932" t="s">
        <v>1333</v>
      </c>
      <c r="B932" t="s">
        <v>518</v>
      </c>
      <c r="C932" t="s">
        <v>318</v>
      </c>
      <c r="D932" s="2">
        <v>1018.92</v>
      </c>
      <c r="E932">
        <v>7</v>
      </c>
      <c r="F932">
        <v>0</v>
      </c>
      <c r="G932" t="s">
        <v>39</v>
      </c>
      <c r="H932" t="s">
        <v>21</v>
      </c>
      <c r="I932" t="s">
        <v>20</v>
      </c>
      <c r="J932" s="2">
        <f>Table1_1[[#This Row],[Sales]]-Table1_1[[#This Row],[Sales]]*Table1_1[[#This Row],[Discount]]</f>
        <v>1018.92</v>
      </c>
      <c r="K932" s="1">
        <v>45221</v>
      </c>
      <c r="L932" s="11">
        <v>45223</v>
      </c>
      <c r="M932">
        <f>DATEDIF(Table1_1[[#This Row],[Order Date]],Table1_1[[#This Row],[Ship Date]],"D")</f>
        <v>2</v>
      </c>
    </row>
    <row r="933" spans="1:13" x14ac:dyDescent="0.35">
      <c r="A933" t="s">
        <v>1334</v>
      </c>
      <c r="B933" t="s">
        <v>213</v>
      </c>
      <c r="C933" t="s">
        <v>13</v>
      </c>
      <c r="D933" s="2">
        <v>4715.21</v>
      </c>
      <c r="E933">
        <v>1</v>
      </c>
      <c r="F933">
        <v>0.3</v>
      </c>
      <c r="G933" t="s">
        <v>14</v>
      </c>
      <c r="H933" t="s">
        <v>21</v>
      </c>
      <c r="I933" t="s">
        <v>20</v>
      </c>
      <c r="J933" s="2">
        <f>Table1_1[[#This Row],[Sales]]-Table1_1[[#This Row],[Sales]]*Table1_1[[#This Row],[Discount]]</f>
        <v>3300.6469999999999</v>
      </c>
      <c r="K933" s="1">
        <v>44985</v>
      </c>
      <c r="L933" s="11">
        <v>44992</v>
      </c>
      <c r="M933">
        <f>DATEDIF(Table1_1[[#This Row],[Order Date]],Table1_1[[#This Row],[Ship Date]],"D")</f>
        <v>7</v>
      </c>
    </row>
    <row r="934" spans="1:13" x14ac:dyDescent="0.35">
      <c r="A934" t="s">
        <v>1335</v>
      </c>
      <c r="B934" t="s">
        <v>594</v>
      </c>
      <c r="C934" t="s">
        <v>229</v>
      </c>
      <c r="D934" s="2">
        <v>400.36</v>
      </c>
      <c r="E934">
        <v>1</v>
      </c>
      <c r="F934">
        <v>0</v>
      </c>
      <c r="G934" t="s">
        <v>14</v>
      </c>
      <c r="H934" t="s">
        <v>15</v>
      </c>
      <c r="I934" t="s">
        <v>20</v>
      </c>
      <c r="J934" s="2">
        <f>Table1_1[[#This Row],[Sales]]-Table1_1[[#This Row],[Sales]]*Table1_1[[#This Row],[Discount]]</f>
        <v>400.36</v>
      </c>
      <c r="K934" s="1">
        <v>45125</v>
      </c>
      <c r="L934" s="11">
        <v>45131</v>
      </c>
      <c r="M934">
        <f>DATEDIF(Table1_1[[#This Row],[Order Date]],Table1_1[[#This Row],[Ship Date]],"D")</f>
        <v>6</v>
      </c>
    </row>
    <row r="935" spans="1:13" x14ac:dyDescent="0.35">
      <c r="A935" t="s">
        <v>1336</v>
      </c>
      <c r="B935" t="s">
        <v>1019</v>
      </c>
      <c r="C935" t="s">
        <v>178</v>
      </c>
      <c r="D935" s="2">
        <v>4026.26</v>
      </c>
      <c r="E935">
        <v>9</v>
      </c>
      <c r="F935">
        <v>0.3</v>
      </c>
      <c r="G935" t="s">
        <v>19</v>
      </c>
      <c r="H935" t="s">
        <v>15</v>
      </c>
      <c r="I935" t="s">
        <v>16</v>
      </c>
      <c r="J935" s="2">
        <f>Table1_1[[#This Row],[Sales]]-Table1_1[[#This Row],[Sales]]*Table1_1[[#This Row],[Discount]]</f>
        <v>2818.3820000000005</v>
      </c>
      <c r="K935" s="1">
        <v>44959</v>
      </c>
      <c r="L935" s="11">
        <v>44965</v>
      </c>
      <c r="M935">
        <f>DATEDIF(Table1_1[[#This Row],[Order Date]],Table1_1[[#This Row],[Ship Date]],"D")</f>
        <v>6</v>
      </c>
    </row>
    <row r="936" spans="1:13" x14ac:dyDescent="0.35">
      <c r="A936" t="s">
        <v>1337</v>
      </c>
      <c r="B936" t="s">
        <v>242</v>
      </c>
      <c r="C936" t="s">
        <v>89</v>
      </c>
      <c r="D936" s="2">
        <v>2760.43</v>
      </c>
      <c r="E936">
        <v>3</v>
      </c>
      <c r="F936">
        <v>0.1</v>
      </c>
      <c r="G936" t="s">
        <v>14</v>
      </c>
      <c r="H936" t="s">
        <v>21</v>
      </c>
      <c r="I936" t="s">
        <v>20</v>
      </c>
      <c r="J936" s="2">
        <f>Table1_1[[#This Row],[Sales]]-Table1_1[[#This Row],[Sales]]*Table1_1[[#This Row],[Discount]]</f>
        <v>2484.3869999999997</v>
      </c>
      <c r="K936" s="1">
        <v>45274</v>
      </c>
      <c r="L936" s="11">
        <v>45280</v>
      </c>
      <c r="M936">
        <f>DATEDIF(Table1_1[[#This Row],[Order Date]],Table1_1[[#This Row],[Ship Date]],"D")</f>
        <v>6</v>
      </c>
    </row>
    <row r="937" spans="1:13" x14ac:dyDescent="0.35">
      <c r="A937" t="s">
        <v>1338</v>
      </c>
      <c r="B937" t="s">
        <v>530</v>
      </c>
      <c r="C937" t="s">
        <v>285</v>
      </c>
      <c r="D937" s="2">
        <v>1326.31</v>
      </c>
      <c r="E937">
        <v>10</v>
      </c>
      <c r="F937">
        <v>0.3</v>
      </c>
      <c r="G937" t="s">
        <v>14</v>
      </c>
      <c r="H937" t="s">
        <v>21</v>
      </c>
      <c r="I937" t="s">
        <v>16</v>
      </c>
      <c r="J937" s="2">
        <f>Table1_1[[#This Row],[Sales]]-Table1_1[[#This Row],[Sales]]*Table1_1[[#This Row],[Discount]]</f>
        <v>928.41699999999992</v>
      </c>
      <c r="K937" s="1">
        <v>45569</v>
      </c>
      <c r="L937" s="11">
        <v>45573</v>
      </c>
      <c r="M937">
        <f>DATEDIF(Table1_1[[#This Row],[Order Date]],Table1_1[[#This Row],[Ship Date]],"D")</f>
        <v>4</v>
      </c>
    </row>
    <row r="938" spans="1:13" x14ac:dyDescent="0.35">
      <c r="A938" t="s">
        <v>1339</v>
      </c>
      <c r="B938" t="s">
        <v>120</v>
      </c>
      <c r="C938" t="s">
        <v>94</v>
      </c>
      <c r="D938" s="2">
        <v>3438.75</v>
      </c>
      <c r="E938">
        <v>10</v>
      </c>
      <c r="F938">
        <v>0.2</v>
      </c>
      <c r="G938" t="s">
        <v>39</v>
      </c>
      <c r="H938" t="s">
        <v>21</v>
      </c>
      <c r="I938" t="s">
        <v>43</v>
      </c>
      <c r="J938" s="2">
        <f>Table1_1[[#This Row],[Sales]]-Table1_1[[#This Row],[Sales]]*Table1_1[[#This Row],[Discount]]</f>
        <v>2751</v>
      </c>
      <c r="K938" s="1">
        <v>44967</v>
      </c>
      <c r="L938" s="11">
        <v>44973</v>
      </c>
      <c r="M938">
        <f>DATEDIF(Table1_1[[#This Row],[Order Date]],Table1_1[[#This Row],[Ship Date]],"D")</f>
        <v>6</v>
      </c>
    </row>
    <row r="939" spans="1:13" x14ac:dyDescent="0.35">
      <c r="A939" t="s">
        <v>1340</v>
      </c>
      <c r="B939" t="s">
        <v>418</v>
      </c>
      <c r="C939" t="s">
        <v>65</v>
      </c>
      <c r="D939" s="2">
        <v>3748.64</v>
      </c>
      <c r="E939">
        <v>9</v>
      </c>
      <c r="F939">
        <v>0.2</v>
      </c>
      <c r="G939" t="s">
        <v>14</v>
      </c>
      <c r="H939" t="s">
        <v>21</v>
      </c>
      <c r="I939" t="s">
        <v>16</v>
      </c>
      <c r="J939" s="2">
        <f>Table1_1[[#This Row],[Sales]]-Table1_1[[#This Row],[Sales]]*Table1_1[[#This Row],[Discount]]</f>
        <v>2998.9119999999998</v>
      </c>
      <c r="K939" s="1">
        <v>44932</v>
      </c>
      <c r="L939" s="11">
        <v>44937</v>
      </c>
      <c r="M939">
        <f>DATEDIF(Table1_1[[#This Row],[Order Date]],Table1_1[[#This Row],[Ship Date]],"D")</f>
        <v>5</v>
      </c>
    </row>
    <row r="940" spans="1:13" x14ac:dyDescent="0.35">
      <c r="A940" t="s">
        <v>1341</v>
      </c>
      <c r="B940" t="s">
        <v>744</v>
      </c>
      <c r="C940" t="s">
        <v>180</v>
      </c>
      <c r="D940" s="2">
        <v>947.71</v>
      </c>
      <c r="E940">
        <v>6</v>
      </c>
      <c r="F940">
        <v>0.1</v>
      </c>
      <c r="G940" t="s">
        <v>14</v>
      </c>
      <c r="H940" t="s">
        <v>15</v>
      </c>
      <c r="I940" t="s">
        <v>20</v>
      </c>
      <c r="J940" s="2">
        <f>Table1_1[[#This Row],[Sales]]-Table1_1[[#This Row],[Sales]]*Table1_1[[#This Row],[Discount]]</f>
        <v>852.93900000000008</v>
      </c>
      <c r="K940" s="1">
        <v>45319</v>
      </c>
      <c r="L940" s="11">
        <v>45326</v>
      </c>
      <c r="M940">
        <f>DATEDIF(Table1_1[[#This Row],[Order Date]],Table1_1[[#This Row],[Ship Date]],"D")</f>
        <v>7</v>
      </c>
    </row>
    <row r="941" spans="1:13" x14ac:dyDescent="0.35">
      <c r="A941" t="s">
        <v>1342</v>
      </c>
      <c r="B941" t="s">
        <v>672</v>
      </c>
      <c r="C941" t="s">
        <v>341</v>
      </c>
      <c r="D941" s="2">
        <v>1280.1400000000001</v>
      </c>
      <c r="E941">
        <v>1</v>
      </c>
      <c r="F941">
        <v>0.3</v>
      </c>
      <c r="G941" t="s">
        <v>19</v>
      </c>
      <c r="H941" t="s">
        <v>21</v>
      </c>
      <c r="I941" t="s">
        <v>43</v>
      </c>
      <c r="J941" s="2">
        <f>Table1_1[[#This Row],[Sales]]-Table1_1[[#This Row],[Sales]]*Table1_1[[#This Row],[Discount]]</f>
        <v>896.09800000000007</v>
      </c>
      <c r="K941" s="1">
        <v>45458</v>
      </c>
      <c r="L941" s="11">
        <v>45459</v>
      </c>
      <c r="M941">
        <f>DATEDIF(Table1_1[[#This Row],[Order Date]],Table1_1[[#This Row],[Ship Date]],"D")</f>
        <v>1</v>
      </c>
    </row>
    <row r="942" spans="1:13" x14ac:dyDescent="0.35">
      <c r="A942" t="s">
        <v>1343</v>
      </c>
      <c r="B942" t="s">
        <v>1019</v>
      </c>
      <c r="C942" t="s">
        <v>229</v>
      </c>
      <c r="D942" s="2">
        <v>2661.09</v>
      </c>
      <c r="E942">
        <v>4</v>
      </c>
      <c r="F942">
        <v>0.2</v>
      </c>
      <c r="G942" t="s">
        <v>14</v>
      </c>
      <c r="H942" t="s">
        <v>21</v>
      </c>
      <c r="I942" t="s">
        <v>20</v>
      </c>
      <c r="J942" s="2">
        <f>Table1_1[[#This Row],[Sales]]-Table1_1[[#This Row],[Sales]]*Table1_1[[#This Row],[Discount]]</f>
        <v>2128.8720000000003</v>
      </c>
      <c r="K942" s="1">
        <v>45092</v>
      </c>
      <c r="L942" s="11">
        <v>45098</v>
      </c>
      <c r="M942">
        <f>DATEDIF(Table1_1[[#This Row],[Order Date]],Table1_1[[#This Row],[Ship Date]],"D")</f>
        <v>6</v>
      </c>
    </row>
    <row r="943" spans="1:13" x14ac:dyDescent="0.35">
      <c r="A943" t="s">
        <v>1344</v>
      </c>
      <c r="B943" t="s">
        <v>96</v>
      </c>
      <c r="C943" t="s">
        <v>34</v>
      </c>
      <c r="D943" s="2">
        <v>4599.87</v>
      </c>
      <c r="E943">
        <v>8</v>
      </c>
      <c r="F943">
        <v>0</v>
      </c>
      <c r="G943" t="s">
        <v>19</v>
      </c>
      <c r="H943" t="s">
        <v>21</v>
      </c>
      <c r="I943" t="s">
        <v>20</v>
      </c>
      <c r="J943" s="2">
        <f>Table1_1[[#This Row],[Sales]]-Table1_1[[#This Row],[Sales]]*Table1_1[[#This Row],[Discount]]</f>
        <v>4599.87</v>
      </c>
      <c r="K943" s="1">
        <v>44951</v>
      </c>
      <c r="L943" s="11">
        <v>44954</v>
      </c>
      <c r="M943">
        <f>DATEDIF(Table1_1[[#This Row],[Order Date]],Table1_1[[#This Row],[Ship Date]],"D")</f>
        <v>3</v>
      </c>
    </row>
    <row r="944" spans="1:13" x14ac:dyDescent="0.35">
      <c r="A944" t="s">
        <v>1345</v>
      </c>
      <c r="B944" t="s">
        <v>196</v>
      </c>
      <c r="C944" t="s">
        <v>487</v>
      </c>
      <c r="D944" s="2">
        <v>829.26</v>
      </c>
      <c r="E944">
        <v>4</v>
      </c>
      <c r="F944">
        <v>0.2</v>
      </c>
      <c r="G944" t="s">
        <v>14</v>
      </c>
      <c r="H944" t="s">
        <v>21</v>
      </c>
      <c r="I944" t="s">
        <v>16</v>
      </c>
      <c r="J944" s="2">
        <f>Table1_1[[#This Row],[Sales]]-Table1_1[[#This Row],[Sales]]*Table1_1[[#This Row],[Discount]]</f>
        <v>663.40800000000002</v>
      </c>
      <c r="K944" s="1">
        <v>45557</v>
      </c>
      <c r="L944" s="11">
        <v>45558</v>
      </c>
      <c r="M944">
        <f>DATEDIF(Table1_1[[#This Row],[Order Date]],Table1_1[[#This Row],[Ship Date]],"D")</f>
        <v>1</v>
      </c>
    </row>
    <row r="945" spans="1:13" x14ac:dyDescent="0.35">
      <c r="A945" t="s">
        <v>1346</v>
      </c>
      <c r="B945" t="s">
        <v>322</v>
      </c>
      <c r="C945" t="s">
        <v>89</v>
      </c>
      <c r="D945" s="2">
        <v>464.62</v>
      </c>
      <c r="E945">
        <v>7</v>
      </c>
      <c r="F945">
        <v>0.1</v>
      </c>
      <c r="G945" t="s">
        <v>39</v>
      </c>
      <c r="H945" t="s">
        <v>21</v>
      </c>
      <c r="I945" t="s">
        <v>16</v>
      </c>
      <c r="J945" s="2">
        <f>Table1_1[[#This Row],[Sales]]-Table1_1[[#This Row],[Sales]]*Table1_1[[#This Row],[Discount]]</f>
        <v>418.15800000000002</v>
      </c>
      <c r="K945" s="1">
        <v>45042</v>
      </c>
      <c r="L945" s="11">
        <v>45047</v>
      </c>
      <c r="M945">
        <f>DATEDIF(Table1_1[[#This Row],[Order Date]],Table1_1[[#This Row],[Ship Date]],"D")</f>
        <v>5</v>
      </c>
    </row>
    <row r="946" spans="1:13" x14ac:dyDescent="0.35">
      <c r="A946" t="s">
        <v>1347</v>
      </c>
      <c r="B946" t="s">
        <v>328</v>
      </c>
      <c r="C946" t="s">
        <v>178</v>
      </c>
      <c r="D946" s="2">
        <v>3931</v>
      </c>
      <c r="E946">
        <v>3</v>
      </c>
      <c r="F946">
        <v>0.1</v>
      </c>
      <c r="G946" t="s">
        <v>19</v>
      </c>
      <c r="H946" t="s">
        <v>15</v>
      </c>
      <c r="I946" t="s">
        <v>16</v>
      </c>
      <c r="J946" s="2">
        <f>Table1_1[[#This Row],[Sales]]-Table1_1[[#This Row],[Sales]]*Table1_1[[#This Row],[Discount]]</f>
        <v>3537.9</v>
      </c>
      <c r="K946" s="1">
        <v>45050</v>
      </c>
      <c r="L946" s="11">
        <v>45056</v>
      </c>
      <c r="M946">
        <f>DATEDIF(Table1_1[[#This Row],[Order Date]],Table1_1[[#This Row],[Ship Date]],"D")</f>
        <v>6</v>
      </c>
    </row>
    <row r="947" spans="1:13" x14ac:dyDescent="0.35">
      <c r="A947" t="s">
        <v>1348</v>
      </c>
      <c r="B947" t="s">
        <v>782</v>
      </c>
      <c r="C947" t="s">
        <v>148</v>
      </c>
      <c r="D947" s="2">
        <v>1857.73</v>
      </c>
      <c r="E947">
        <v>10</v>
      </c>
      <c r="F947">
        <v>0.3</v>
      </c>
      <c r="G947" t="s">
        <v>39</v>
      </c>
      <c r="H947" t="s">
        <v>15</v>
      </c>
      <c r="I947" t="s">
        <v>20</v>
      </c>
      <c r="J947" s="2">
        <f>Table1_1[[#This Row],[Sales]]-Table1_1[[#This Row],[Sales]]*Table1_1[[#This Row],[Discount]]</f>
        <v>1300.4110000000001</v>
      </c>
      <c r="K947" s="1">
        <v>45080</v>
      </c>
      <c r="L947" s="11">
        <v>45086</v>
      </c>
      <c r="M947">
        <f>DATEDIF(Table1_1[[#This Row],[Order Date]],Table1_1[[#This Row],[Ship Date]],"D")</f>
        <v>6</v>
      </c>
    </row>
    <row r="948" spans="1:13" x14ac:dyDescent="0.35">
      <c r="A948" t="s">
        <v>1349</v>
      </c>
      <c r="B948" t="s">
        <v>618</v>
      </c>
      <c r="C948" t="s">
        <v>265</v>
      </c>
      <c r="D948" s="2">
        <v>261.56</v>
      </c>
      <c r="E948">
        <v>9</v>
      </c>
      <c r="F948">
        <v>0</v>
      </c>
      <c r="G948" t="s">
        <v>14</v>
      </c>
      <c r="H948" t="s">
        <v>15</v>
      </c>
      <c r="I948" t="s">
        <v>20</v>
      </c>
      <c r="J948" s="2">
        <f>Table1_1[[#This Row],[Sales]]-Table1_1[[#This Row],[Sales]]*Table1_1[[#This Row],[Discount]]</f>
        <v>261.56</v>
      </c>
      <c r="K948" s="1">
        <v>45381</v>
      </c>
      <c r="L948" s="11">
        <v>45383</v>
      </c>
      <c r="M948">
        <f>DATEDIF(Table1_1[[#This Row],[Order Date]],Table1_1[[#This Row],[Ship Date]],"D")</f>
        <v>2</v>
      </c>
    </row>
    <row r="949" spans="1:13" x14ac:dyDescent="0.35">
      <c r="A949" t="s">
        <v>1350</v>
      </c>
      <c r="B949" t="s">
        <v>1002</v>
      </c>
      <c r="C949" t="s">
        <v>310</v>
      </c>
      <c r="D949" s="2">
        <v>1058.48</v>
      </c>
      <c r="E949">
        <v>10</v>
      </c>
      <c r="F949">
        <v>0.3</v>
      </c>
      <c r="G949" t="s">
        <v>14</v>
      </c>
      <c r="H949" t="s">
        <v>21</v>
      </c>
      <c r="I949" t="s">
        <v>43</v>
      </c>
      <c r="J949" s="2">
        <f>Table1_1[[#This Row],[Sales]]-Table1_1[[#This Row],[Sales]]*Table1_1[[#This Row],[Discount]]</f>
        <v>740.93600000000004</v>
      </c>
      <c r="K949" s="1">
        <v>44968</v>
      </c>
      <c r="L949" s="11">
        <v>44972</v>
      </c>
      <c r="M949">
        <f>DATEDIF(Table1_1[[#This Row],[Order Date]],Table1_1[[#This Row],[Ship Date]],"D")</f>
        <v>4</v>
      </c>
    </row>
    <row r="950" spans="1:13" x14ac:dyDescent="0.35">
      <c r="A950" t="s">
        <v>1351</v>
      </c>
      <c r="B950" t="s">
        <v>219</v>
      </c>
      <c r="C950" t="s">
        <v>26</v>
      </c>
      <c r="D950" s="2">
        <v>3674.24</v>
      </c>
      <c r="E950">
        <v>10</v>
      </c>
      <c r="F950">
        <v>0.3</v>
      </c>
      <c r="G950" t="s">
        <v>14</v>
      </c>
      <c r="H950" t="s">
        <v>15</v>
      </c>
      <c r="I950" t="s">
        <v>16</v>
      </c>
      <c r="J950" s="2">
        <f>Table1_1[[#This Row],[Sales]]-Table1_1[[#This Row],[Sales]]*Table1_1[[#This Row],[Discount]]</f>
        <v>2571.9679999999998</v>
      </c>
      <c r="K950" s="1">
        <v>45385</v>
      </c>
      <c r="L950" s="11">
        <v>45390</v>
      </c>
      <c r="M950">
        <f>DATEDIF(Table1_1[[#This Row],[Order Date]],Table1_1[[#This Row],[Ship Date]],"D")</f>
        <v>5</v>
      </c>
    </row>
    <row r="951" spans="1:13" x14ac:dyDescent="0.35">
      <c r="A951" t="s">
        <v>1352</v>
      </c>
      <c r="B951" t="s">
        <v>25</v>
      </c>
      <c r="C951" t="s">
        <v>185</v>
      </c>
      <c r="D951" s="2">
        <v>2586.27</v>
      </c>
      <c r="E951">
        <v>6</v>
      </c>
      <c r="F951">
        <v>0</v>
      </c>
      <c r="G951" t="s">
        <v>14</v>
      </c>
      <c r="H951" t="s">
        <v>21</v>
      </c>
      <c r="I951" t="s">
        <v>16</v>
      </c>
      <c r="J951" s="2">
        <f>Table1_1[[#This Row],[Sales]]-Table1_1[[#This Row],[Sales]]*Table1_1[[#This Row],[Discount]]</f>
        <v>2586.27</v>
      </c>
      <c r="K951" s="1">
        <v>45498</v>
      </c>
      <c r="L951" s="11">
        <v>45502</v>
      </c>
      <c r="M951">
        <f>DATEDIF(Table1_1[[#This Row],[Order Date]],Table1_1[[#This Row],[Ship Date]],"D")</f>
        <v>4</v>
      </c>
    </row>
    <row r="952" spans="1:13" x14ac:dyDescent="0.35">
      <c r="A952" t="s">
        <v>1353</v>
      </c>
      <c r="B952" t="s">
        <v>928</v>
      </c>
      <c r="C952" t="s">
        <v>448</v>
      </c>
      <c r="D952" s="2">
        <v>1355.81</v>
      </c>
      <c r="E952">
        <v>7</v>
      </c>
      <c r="F952">
        <v>0.1</v>
      </c>
      <c r="G952" t="s">
        <v>19</v>
      </c>
      <c r="H952" t="s">
        <v>15</v>
      </c>
      <c r="I952" t="s">
        <v>20</v>
      </c>
      <c r="J952" s="2">
        <f>Table1_1[[#This Row],[Sales]]-Table1_1[[#This Row],[Sales]]*Table1_1[[#This Row],[Discount]]</f>
        <v>1220.229</v>
      </c>
      <c r="K952" s="1">
        <v>45746</v>
      </c>
      <c r="L952" s="11">
        <v>45748</v>
      </c>
      <c r="M952">
        <f>DATEDIF(Table1_1[[#This Row],[Order Date]],Table1_1[[#This Row],[Ship Date]],"D")</f>
        <v>2</v>
      </c>
    </row>
    <row r="953" spans="1:13" x14ac:dyDescent="0.35">
      <c r="A953" t="s">
        <v>1354</v>
      </c>
      <c r="B953" t="s">
        <v>1355</v>
      </c>
      <c r="C953" t="s">
        <v>146</v>
      </c>
      <c r="D953" s="2">
        <v>736.85</v>
      </c>
      <c r="E953">
        <v>7</v>
      </c>
      <c r="F953">
        <v>0.2</v>
      </c>
      <c r="G953" t="s">
        <v>19</v>
      </c>
      <c r="H953" t="s">
        <v>15</v>
      </c>
      <c r="I953" t="s">
        <v>20</v>
      </c>
      <c r="J953" s="2">
        <f>Table1_1[[#This Row],[Sales]]-Table1_1[[#This Row],[Sales]]*Table1_1[[#This Row],[Discount]]</f>
        <v>589.48</v>
      </c>
      <c r="K953" s="1">
        <v>45249</v>
      </c>
      <c r="L953" s="11">
        <v>45254</v>
      </c>
      <c r="M953">
        <f>DATEDIF(Table1_1[[#This Row],[Order Date]],Table1_1[[#This Row],[Ship Date]],"D")</f>
        <v>5</v>
      </c>
    </row>
    <row r="954" spans="1:13" x14ac:dyDescent="0.35">
      <c r="A954" t="s">
        <v>1356</v>
      </c>
      <c r="B954" t="s">
        <v>510</v>
      </c>
      <c r="C954" t="s">
        <v>60</v>
      </c>
      <c r="D954" s="2">
        <v>3070.23</v>
      </c>
      <c r="E954">
        <v>9</v>
      </c>
      <c r="F954">
        <v>0</v>
      </c>
      <c r="G954" t="s">
        <v>19</v>
      </c>
      <c r="H954" t="s">
        <v>15</v>
      </c>
      <c r="I954" t="s">
        <v>43</v>
      </c>
      <c r="J954" s="2">
        <f>Table1_1[[#This Row],[Sales]]-Table1_1[[#This Row],[Sales]]*Table1_1[[#This Row],[Discount]]</f>
        <v>3070.23</v>
      </c>
      <c r="K954" s="1">
        <v>45211</v>
      </c>
      <c r="L954" s="11">
        <v>45217</v>
      </c>
      <c r="M954">
        <f>DATEDIF(Table1_1[[#This Row],[Order Date]],Table1_1[[#This Row],[Ship Date]],"D")</f>
        <v>6</v>
      </c>
    </row>
    <row r="955" spans="1:13" x14ac:dyDescent="0.35">
      <c r="A955" t="s">
        <v>1357</v>
      </c>
      <c r="B955" t="s">
        <v>561</v>
      </c>
      <c r="C955" t="s">
        <v>251</v>
      </c>
      <c r="D955" s="2">
        <v>3600.61</v>
      </c>
      <c r="E955">
        <v>5</v>
      </c>
      <c r="F955">
        <v>0.2</v>
      </c>
      <c r="G955" t="s">
        <v>39</v>
      </c>
      <c r="H955" t="s">
        <v>21</v>
      </c>
      <c r="I955" t="s">
        <v>16</v>
      </c>
      <c r="J955" s="2">
        <f>Table1_1[[#This Row],[Sales]]-Table1_1[[#This Row],[Sales]]*Table1_1[[#This Row],[Discount]]</f>
        <v>2880.4880000000003</v>
      </c>
      <c r="K955" s="1">
        <v>45561</v>
      </c>
      <c r="L955" s="11">
        <v>45562</v>
      </c>
      <c r="M955">
        <f>DATEDIF(Table1_1[[#This Row],[Order Date]],Table1_1[[#This Row],[Ship Date]],"D")</f>
        <v>1</v>
      </c>
    </row>
    <row r="956" spans="1:13" x14ac:dyDescent="0.35">
      <c r="A956" t="s">
        <v>1358</v>
      </c>
      <c r="B956" t="s">
        <v>535</v>
      </c>
      <c r="C956" t="s">
        <v>458</v>
      </c>
      <c r="D956" s="2">
        <v>1152</v>
      </c>
      <c r="E956">
        <v>10</v>
      </c>
      <c r="F956">
        <v>0.2</v>
      </c>
      <c r="G956" t="s">
        <v>19</v>
      </c>
      <c r="H956" t="s">
        <v>21</v>
      </c>
      <c r="I956" t="s">
        <v>43</v>
      </c>
      <c r="J956" s="2">
        <f>Table1_1[[#This Row],[Sales]]-Table1_1[[#This Row],[Sales]]*Table1_1[[#This Row],[Discount]]</f>
        <v>921.6</v>
      </c>
      <c r="K956" s="1">
        <v>45116</v>
      </c>
      <c r="L956" s="11">
        <v>45118</v>
      </c>
      <c r="M956">
        <f>DATEDIF(Table1_1[[#This Row],[Order Date]],Table1_1[[#This Row],[Ship Date]],"D")</f>
        <v>2</v>
      </c>
    </row>
    <row r="957" spans="1:13" x14ac:dyDescent="0.35">
      <c r="A957" t="s">
        <v>1359</v>
      </c>
      <c r="B957" t="s">
        <v>142</v>
      </c>
      <c r="C957" t="s">
        <v>175</v>
      </c>
      <c r="D957" s="2">
        <v>4542.72</v>
      </c>
      <c r="E957">
        <v>8</v>
      </c>
      <c r="F957">
        <v>0.2</v>
      </c>
      <c r="G957" t="s">
        <v>14</v>
      </c>
      <c r="H957" t="s">
        <v>21</v>
      </c>
      <c r="I957" t="s">
        <v>43</v>
      </c>
      <c r="J957" s="2">
        <f>Table1_1[[#This Row],[Sales]]-Table1_1[[#This Row],[Sales]]*Table1_1[[#This Row],[Discount]]</f>
        <v>3634.1760000000004</v>
      </c>
      <c r="K957" s="1">
        <v>45700</v>
      </c>
      <c r="L957" s="11">
        <v>45704</v>
      </c>
      <c r="M957">
        <f>DATEDIF(Table1_1[[#This Row],[Order Date]],Table1_1[[#This Row],[Ship Date]],"D")</f>
        <v>4</v>
      </c>
    </row>
    <row r="958" spans="1:13" x14ac:dyDescent="0.35">
      <c r="A958" t="s">
        <v>1360</v>
      </c>
      <c r="B958" t="s">
        <v>709</v>
      </c>
      <c r="C958" t="s">
        <v>128</v>
      </c>
      <c r="D958" s="2">
        <v>2834.89</v>
      </c>
      <c r="E958">
        <v>4</v>
      </c>
      <c r="F958">
        <v>0</v>
      </c>
      <c r="G958" t="s">
        <v>39</v>
      </c>
      <c r="H958" t="s">
        <v>21</v>
      </c>
      <c r="I958" t="s">
        <v>16</v>
      </c>
      <c r="J958" s="2">
        <f>Table1_1[[#This Row],[Sales]]-Table1_1[[#This Row],[Sales]]*Table1_1[[#This Row],[Discount]]</f>
        <v>2834.89</v>
      </c>
      <c r="K958" s="1">
        <v>45144</v>
      </c>
      <c r="L958" s="11">
        <v>45150</v>
      </c>
      <c r="M958">
        <f>DATEDIF(Table1_1[[#This Row],[Order Date]],Table1_1[[#This Row],[Ship Date]],"D")</f>
        <v>6</v>
      </c>
    </row>
    <row r="959" spans="1:13" x14ac:dyDescent="0.35">
      <c r="A959" t="s">
        <v>1361</v>
      </c>
      <c r="B959" t="s">
        <v>528</v>
      </c>
      <c r="C959" t="s">
        <v>441</v>
      </c>
      <c r="D959" s="2">
        <v>4711.6499999999996</v>
      </c>
      <c r="E959">
        <v>5</v>
      </c>
      <c r="F959">
        <v>0.1</v>
      </c>
      <c r="G959" t="s">
        <v>14</v>
      </c>
      <c r="H959" t="s">
        <v>15</v>
      </c>
      <c r="I959" t="s">
        <v>16</v>
      </c>
      <c r="J959" s="2">
        <f>Table1_1[[#This Row],[Sales]]-Table1_1[[#This Row],[Sales]]*Table1_1[[#This Row],[Discount]]</f>
        <v>4240.4849999999997</v>
      </c>
      <c r="K959" s="1">
        <v>45421</v>
      </c>
      <c r="L959" s="11">
        <v>45427</v>
      </c>
      <c r="M959">
        <f>DATEDIF(Table1_1[[#This Row],[Order Date]],Table1_1[[#This Row],[Ship Date]],"D")</f>
        <v>6</v>
      </c>
    </row>
    <row r="960" spans="1:13" x14ac:dyDescent="0.35">
      <c r="A960" t="s">
        <v>1362</v>
      </c>
      <c r="B960" t="s">
        <v>661</v>
      </c>
      <c r="C960" t="s">
        <v>318</v>
      </c>
      <c r="D960" s="2">
        <v>479.94</v>
      </c>
      <c r="E960">
        <v>7</v>
      </c>
      <c r="F960">
        <v>0.1</v>
      </c>
      <c r="G960" t="s">
        <v>14</v>
      </c>
      <c r="H960" t="s">
        <v>15</v>
      </c>
      <c r="I960" t="s">
        <v>20</v>
      </c>
      <c r="J960" s="2">
        <f>Table1_1[[#This Row],[Sales]]-Table1_1[[#This Row],[Sales]]*Table1_1[[#This Row],[Discount]]</f>
        <v>431.94600000000003</v>
      </c>
      <c r="K960" s="1">
        <v>45593</v>
      </c>
      <c r="L960" s="11">
        <v>45595</v>
      </c>
      <c r="M960">
        <f>DATEDIF(Table1_1[[#This Row],[Order Date]],Table1_1[[#This Row],[Ship Date]],"D")</f>
        <v>2</v>
      </c>
    </row>
    <row r="961" spans="1:13" x14ac:dyDescent="0.35">
      <c r="A961" t="s">
        <v>1363</v>
      </c>
      <c r="B961" t="s">
        <v>356</v>
      </c>
      <c r="C961" t="s">
        <v>146</v>
      </c>
      <c r="D961" s="2">
        <v>3080.74</v>
      </c>
      <c r="E961">
        <v>10</v>
      </c>
      <c r="F961">
        <v>0</v>
      </c>
      <c r="G961" t="s">
        <v>14</v>
      </c>
      <c r="H961" t="s">
        <v>15</v>
      </c>
      <c r="I961" t="s">
        <v>16</v>
      </c>
      <c r="J961" s="2">
        <f>Table1_1[[#This Row],[Sales]]-Table1_1[[#This Row],[Sales]]*Table1_1[[#This Row],[Discount]]</f>
        <v>3080.74</v>
      </c>
      <c r="K961" s="1">
        <v>45110</v>
      </c>
      <c r="L961" s="11">
        <v>45113</v>
      </c>
      <c r="M961">
        <f>DATEDIF(Table1_1[[#This Row],[Order Date]],Table1_1[[#This Row],[Ship Date]],"D")</f>
        <v>3</v>
      </c>
    </row>
    <row r="962" spans="1:13" x14ac:dyDescent="0.35">
      <c r="A962" t="s">
        <v>1364</v>
      </c>
      <c r="B962" t="s">
        <v>173</v>
      </c>
      <c r="C962" t="s">
        <v>268</v>
      </c>
      <c r="D962" s="2">
        <v>3643.5</v>
      </c>
      <c r="E962">
        <v>9</v>
      </c>
      <c r="F962">
        <v>0</v>
      </c>
      <c r="G962" t="s">
        <v>14</v>
      </c>
      <c r="H962" t="s">
        <v>15</v>
      </c>
      <c r="I962" t="s">
        <v>20</v>
      </c>
      <c r="J962" s="2">
        <f>Table1_1[[#This Row],[Sales]]-Table1_1[[#This Row],[Sales]]*Table1_1[[#This Row],[Discount]]</f>
        <v>3643.5</v>
      </c>
      <c r="K962" s="1">
        <v>45323</v>
      </c>
      <c r="L962" s="11">
        <v>45325</v>
      </c>
      <c r="M962">
        <f>DATEDIF(Table1_1[[#This Row],[Order Date]],Table1_1[[#This Row],[Ship Date]],"D")</f>
        <v>2</v>
      </c>
    </row>
    <row r="963" spans="1:13" x14ac:dyDescent="0.35">
      <c r="A963" t="s">
        <v>1365</v>
      </c>
      <c r="B963" t="s">
        <v>380</v>
      </c>
      <c r="C963" t="s">
        <v>336</v>
      </c>
      <c r="D963" s="2">
        <v>3835.66</v>
      </c>
      <c r="E963">
        <v>9</v>
      </c>
      <c r="F963">
        <v>0.2</v>
      </c>
      <c r="G963" t="s">
        <v>19</v>
      </c>
      <c r="H963" t="s">
        <v>15</v>
      </c>
      <c r="I963" t="s">
        <v>16</v>
      </c>
      <c r="J963" s="2">
        <f>Table1_1[[#This Row],[Sales]]-Table1_1[[#This Row],[Sales]]*Table1_1[[#This Row],[Discount]]</f>
        <v>3068.5279999999998</v>
      </c>
      <c r="K963" s="1">
        <v>45339</v>
      </c>
      <c r="L963" s="11">
        <v>45342</v>
      </c>
      <c r="M963">
        <f>DATEDIF(Table1_1[[#This Row],[Order Date]],Table1_1[[#This Row],[Ship Date]],"D")</f>
        <v>3</v>
      </c>
    </row>
    <row r="964" spans="1:13" x14ac:dyDescent="0.35">
      <c r="A964" t="s">
        <v>1366</v>
      </c>
      <c r="B964" t="s">
        <v>124</v>
      </c>
      <c r="C964" t="s">
        <v>726</v>
      </c>
      <c r="D964" s="2">
        <v>3479.04</v>
      </c>
      <c r="E964">
        <v>5</v>
      </c>
      <c r="F964">
        <v>0.3</v>
      </c>
      <c r="G964" t="s">
        <v>14</v>
      </c>
      <c r="H964" t="s">
        <v>21</v>
      </c>
      <c r="I964" t="s">
        <v>16</v>
      </c>
      <c r="J964" s="2">
        <f>Table1_1[[#This Row],[Sales]]-Table1_1[[#This Row],[Sales]]*Table1_1[[#This Row],[Discount]]</f>
        <v>2435.328</v>
      </c>
      <c r="K964" s="1">
        <v>45798</v>
      </c>
      <c r="L964" s="11">
        <v>45802</v>
      </c>
      <c r="M964">
        <f>DATEDIF(Table1_1[[#This Row],[Order Date]],Table1_1[[#This Row],[Ship Date]],"D")</f>
        <v>4</v>
      </c>
    </row>
    <row r="965" spans="1:13" x14ac:dyDescent="0.35">
      <c r="A965" t="s">
        <v>1367</v>
      </c>
      <c r="B965" t="s">
        <v>796</v>
      </c>
      <c r="C965" t="s">
        <v>89</v>
      </c>
      <c r="D965" s="2">
        <v>4273.3100000000004</v>
      </c>
      <c r="E965">
        <v>3</v>
      </c>
      <c r="F965">
        <v>0.2</v>
      </c>
      <c r="G965" t="s">
        <v>14</v>
      </c>
      <c r="H965" t="s">
        <v>21</v>
      </c>
      <c r="I965" t="s">
        <v>43</v>
      </c>
      <c r="J965" s="2">
        <f>Table1_1[[#This Row],[Sales]]-Table1_1[[#This Row],[Sales]]*Table1_1[[#This Row],[Discount]]</f>
        <v>3418.6480000000001</v>
      </c>
      <c r="K965" s="1">
        <v>45326</v>
      </c>
      <c r="L965" s="11">
        <v>45328</v>
      </c>
      <c r="M965">
        <f>DATEDIF(Table1_1[[#This Row],[Order Date]],Table1_1[[#This Row],[Ship Date]],"D")</f>
        <v>2</v>
      </c>
    </row>
    <row r="966" spans="1:13" x14ac:dyDescent="0.35">
      <c r="A966" t="s">
        <v>1368</v>
      </c>
      <c r="B966" t="s">
        <v>1279</v>
      </c>
      <c r="C966" t="s">
        <v>662</v>
      </c>
      <c r="D966" s="2">
        <v>1843</v>
      </c>
      <c r="E966">
        <v>2</v>
      </c>
      <c r="F966">
        <v>0</v>
      </c>
      <c r="G966" t="s">
        <v>14</v>
      </c>
      <c r="H966" t="s">
        <v>21</v>
      </c>
      <c r="I966" t="s">
        <v>20</v>
      </c>
      <c r="J966" s="2">
        <f>Table1_1[[#This Row],[Sales]]-Table1_1[[#This Row],[Sales]]*Table1_1[[#This Row],[Discount]]</f>
        <v>1843</v>
      </c>
      <c r="K966" s="1">
        <v>45711</v>
      </c>
      <c r="L966" s="11">
        <v>45715</v>
      </c>
      <c r="M966">
        <f>DATEDIF(Table1_1[[#This Row],[Order Date]],Table1_1[[#This Row],[Ship Date]],"D")</f>
        <v>4</v>
      </c>
    </row>
    <row r="967" spans="1:13" x14ac:dyDescent="0.35">
      <c r="A967" t="s">
        <v>1369</v>
      </c>
      <c r="B967" t="s">
        <v>25</v>
      </c>
      <c r="C967" t="s">
        <v>234</v>
      </c>
      <c r="D967" s="2">
        <v>4276.21</v>
      </c>
      <c r="E967">
        <v>10</v>
      </c>
      <c r="F967">
        <v>0</v>
      </c>
      <c r="G967" t="s">
        <v>14</v>
      </c>
      <c r="H967" t="s">
        <v>21</v>
      </c>
      <c r="I967" t="s">
        <v>16</v>
      </c>
      <c r="J967" s="2">
        <f>Table1_1[[#This Row],[Sales]]-Table1_1[[#This Row],[Sales]]*Table1_1[[#This Row],[Discount]]</f>
        <v>4276.21</v>
      </c>
      <c r="K967" s="1">
        <v>44985</v>
      </c>
      <c r="L967" s="11">
        <v>44992</v>
      </c>
      <c r="M967">
        <f>DATEDIF(Table1_1[[#This Row],[Order Date]],Table1_1[[#This Row],[Ship Date]],"D")</f>
        <v>7</v>
      </c>
    </row>
    <row r="968" spans="1:13" x14ac:dyDescent="0.35">
      <c r="A968" t="s">
        <v>1370</v>
      </c>
      <c r="B968" t="s">
        <v>216</v>
      </c>
      <c r="C968" t="s">
        <v>194</v>
      </c>
      <c r="D968" s="2">
        <v>102.99</v>
      </c>
      <c r="E968">
        <v>8</v>
      </c>
      <c r="F968">
        <v>0.3</v>
      </c>
      <c r="G968" t="s">
        <v>14</v>
      </c>
      <c r="H968" t="s">
        <v>15</v>
      </c>
      <c r="I968" t="s">
        <v>20</v>
      </c>
      <c r="J968" s="2">
        <f>Table1_1[[#This Row],[Sales]]-Table1_1[[#This Row],[Sales]]*Table1_1[[#This Row],[Discount]]</f>
        <v>72.092999999999989</v>
      </c>
      <c r="K968" s="1">
        <v>44956</v>
      </c>
      <c r="L968" s="11">
        <v>44962</v>
      </c>
      <c r="M968">
        <f>DATEDIF(Table1_1[[#This Row],[Order Date]],Table1_1[[#This Row],[Ship Date]],"D")</f>
        <v>6</v>
      </c>
    </row>
    <row r="969" spans="1:13" x14ac:dyDescent="0.35">
      <c r="A969" t="s">
        <v>1371</v>
      </c>
      <c r="B969" t="s">
        <v>59</v>
      </c>
      <c r="C969" t="s">
        <v>42</v>
      </c>
      <c r="D969" s="2">
        <v>695.06</v>
      </c>
      <c r="E969">
        <v>2</v>
      </c>
      <c r="F969">
        <v>0</v>
      </c>
      <c r="G969" t="s">
        <v>19</v>
      </c>
      <c r="H969" t="s">
        <v>21</v>
      </c>
      <c r="I969" t="s">
        <v>43</v>
      </c>
      <c r="J969" s="2">
        <f>Table1_1[[#This Row],[Sales]]-Table1_1[[#This Row],[Sales]]*Table1_1[[#This Row],[Discount]]</f>
        <v>695.06</v>
      </c>
      <c r="K969" s="1">
        <v>45162</v>
      </c>
      <c r="L969" s="11">
        <v>45166</v>
      </c>
      <c r="M969">
        <f>DATEDIF(Table1_1[[#This Row],[Order Date]],Table1_1[[#This Row],[Ship Date]],"D")</f>
        <v>4</v>
      </c>
    </row>
    <row r="970" spans="1:13" x14ac:dyDescent="0.35">
      <c r="A970" t="s">
        <v>1372</v>
      </c>
      <c r="B970" t="s">
        <v>1089</v>
      </c>
      <c r="C970" t="s">
        <v>662</v>
      </c>
      <c r="D970" s="2">
        <v>747.62</v>
      </c>
      <c r="E970">
        <v>1</v>
      </c>
      <c r="F970">
        <v>0.3</v>
      </c>
      <c r="G970" t="s">
        <v>19</v>
      </c>
      <c r="H970" t="s">
        <v>15</v>
      </c>
      <c r="I970" t="s">
        <v>43</v>
      </c>
      <c r="J970" s="2">
        <f>Table1_1[[#This Row],[Sales]]-Table1_1[[#This Row],[Sales]]*Table1_1[[#This Row],[Discount]]</f>
        <v>523.33400000000006</v>
      </c>
      <c r="K970" s="1">
        <v>45633</v>
      </c>
      <c r="L970" s="11">
        <v>45639</v>
      </c>
      <c r="M970">
        <f>DATEDIF(Table1_1[[#This Row],[Order Date]],Table1_1[[#This Row],[Ship Date]],"D")</f>
        <v>6</v>
      </c>
    </row>
    <row r="971" spans="1:13" x14ac:dyDescent="0.35">
      <c r="A971" t="s">
        <v>1373</v>
      </c>
      <c r="B971" t="s">
        <v>767</v>
      </c>
      <c r="C971" t="s">
        <v>105</v>
      </c>
      <c r="D971" s="2">
        <v>3473.91</v>
      </c>
      <c r="E971">
        <v>4</v>
      </c>
      <c r="F971">
        <v>0</v>
      </c>
      <c r="G971" t="s">
        <v>19</v>
      </c>
      <c r="H971" t="s">
        <v>21</v>
      </c>
      <c r="I971" t="s">
        <v>43</v>
      </c>
      <c r="J971" s="2">
        <f>Table1_1[[#This Row],[Sales]]-Table1_1[[#This Row],[Sales]]*Table1_1[[#This Row],[Discount]]</f>
        <v>3473.91</v>
      </c>
      <c r="K971" s="1">
        <v>45373</v>
      </c>
      <c r="L971" s="11">
        <v>45380</v>
      </c>
      <c r="M971">
        <f>DATEDIF(Table1_1[[#This Row],[Order Date]],Table1_1[[#This Row],[Ship Date]],"D")</f>
        <v>7</v>
      </c>
    </row>
    <row r="972" spans="1:13" x14ac:dyDescent="0.35">
      <c r="A972" t="s">
        <v>1374</v>
      </c>
      <c r="B972" t="s">
        <v>277</v>
      </c>
      <c r="C972" t="s">
        <v>443</v>
      </c>
      <c r="D972" s="2">
        <v>2296.1999999999998</v>
      </c>
      <c r="E972">
        <v>3</v>
      </c>
      <c r="F972">
        <v>0.3</v>
      </c>
      <c r="G972" t="s">
        <v>14</v>
      </c>
      <c r="H972" t="s">
        <v>15</v>
      </c>
      <c r="I972" t="s">
        <v>20</v>
      </c>
      <c r="J972" s="2">
        <f>Table1_1[[#This Row],[Sales]]-Table1_1[[#This Row],[Sales]]*Table1_1[[#This Row],[Discount]]</f>
        <v>1607.34</v>
      </c>
      <c r="K972" s="1">
        <v>45249</v>
      </c>
      <c r="L972" s="11">
        <v>45254</v>
      </c>
      <c r="M972">
        <f>DATEDIF(Table1_1[[#This Row],[Order Date]],Table1_1[[#This Row],[Ship Date]],"D")</f>
        <v>5</v>
      </c>
    </row>
    <row r="973" spans="1:13" x14ac:dyDescent="0.35">
      <c r="A973" t="s">
        <v>1375</v>
      </c>
      <c r="B973" t="s">
        <v>115</v>
      </c>
      <c r="C973" t="s">
        <v>197</v>
      </c>
      <c r="D973" s="2">
        <v>2625.02</v>
      </c>
      <c r="E973">
        <v>9</v>
      </c>
      <c r="F973">
        <v>0.2</v>
      </c>
      <c r="G973" t="s">
        <v>39</v>
      </c>
      <c r="H973" t="s">
        <v>21</v>
      </c>
      <c r="I973" t="s">
        <v>20</v>
      </c>
      <c r="J973" s="2">
        <f>Table1_1[[#This Row],[Sales]]-Table1_1[[#This Row],[Sales]]*Table1_1[[#This Row],[Discount]]</f>
        <v>2100.0160000000001</v>
      </c>
      <c r="K973" s="1">
        <v>44946</v>
      </c>
      <c r="L973" s="11">
        <v>44953</v>
      </c>
      <c r="M973">
        <f>DATEDIF(Table1_1[[#This Row],[Order Date]],Table1_1[[#This Row],[Ship Date]],"D")</f>
        <v>7</v>
      </c>
    </row>
    <row r="974" spans="1:13" x14ac:dyDescent="0.35">
      <c r="A974" t="s">
        <v>1376</v>
      </c>
      <c r="B974" t="s">
        <v>575</v>
      </c>
      <c r="C974" t="s">
        <v>31</v>
      </c>
      <c r="D974" s="2">
        <v>2762.86</v>
      </c>
      <c r="E974">
        <v>1</v>
      </c>
      <c r="F974">
        <v>0.2</v>
      </c>
      <c r="G974" t="s">
        <v>19</v>
      </c>
      <c r="H974" t="s">
        <v>15</v>
      </c>
      <c r="I974" t="s">
        <v>16</v>
      </c>
      <c r="J974" s="2">
        <f>Table1_1[[#This Row],[Sales]]-Table1_1[[#This Row],[Sales]]*Table1_1[[#This Row],[Discount]]</f>
        <v>2210.288</v>
      </c>
      <c r="K974" s="1">
        <v>45074</v>
      </c>
      <c r="L974" s="11">
        <v>45076</v>
      </c>
      <c r="M974">
        <f>DATEDIF(Table1_1[[#This Row],[Order Date]],Table1_1[[#This Row],[Ship Date]],"D")</f>
        <v>2</v>
      </c>
    </row>
    <row r="975" spans="1:13" x14ac:dyDescent="0.35">
      <c r="A975" t="s">
        <v>1377</v>
      </c>
      <c r="B975" t="s">
        <v>1166</v>
      </c>
      <c r="C975" t="s">
        <v>458</v>
      </c>
      <c r="D975" s="2">
        <v>3206.24</v>
      </c>
      <c r="E975">
        <v>4</v>
      </c>
      <c r="F975">
        <v>0</v>
      </c>
      <c r="G975" t="s">
        <v>19</v>
      </c>
      <c r="H975" t="s">
        <v>15</v>
      </c>
      <c r="I975" t="s">
        <v>16</v>
      </c>
      <c r="J975" s="2">
        <f>Table1_1[[#This Row],[Sales]]-Table1_1[[#This Row],[Sales]]*Table1_1[[#This Row],[Discount]]</f>
        <v>3206.24</v>
      </c>
      <c r="K975" s="1">
        <v>45340</v>
      </c>
      <c r="L975" s="11">
        <v>45345</v>
      </c>
      <c r="M975">
        <f>DATEDIF(Table1_1[[#This Row],[Order Date]],Table1_1[[#This Row],[Ship Date]],"D")</f>
        <v>5</v>
      </c>
    </row>
    <row r="976" spans="1:13" x14ac:dyDescent="0.35">
      <c r="A976" t="s">
        <v>1378</v>
      </c>
      <c r="B976" t="s">
        <v>510</v>
      </c>
      <c r="C976" t="s">
        <v>94</v>
      </c>
      <c r="D976" s="2">
        <v>3790.29</v>
      </c>
      <c r="E976">
        <v>2</v>
      </c>
      <c r="F976">
        <v>0.3</v>
      </c>
      <c r="G976" t="s">
        <v>39</v>
      </c>
      <c r="H976" t="s">
        <v>21</v>
      </c>
      <c r="I976" t="s">
        <v>43</v>
      </c>
      <c r="J976" s="2">
        <f>Table1_1[[#This Row],[Sales]]-Table1_1[[#This Row],[Sales]]*Table1_1[[#This Row],[Discount]]</f>
        <v>2653.203</v>
      </c>
      <c r="K976" s="1">
        <v>45590</v>
      </c>
      <c r="L976" s="11">
        <v>45593</v>
      </c>
      <c r="M976">
        <f>DATEDIF(Table1_1[[#This Row],[Order Date]],Table1_1[[#This Row],[Ship Date]],"D")</f>
        <v>3</v>
      </c>
    </row>
    <row r="977" spans="1:13" x14ac:dyDescent="0.35">
      <c r="A977" t="s">
        <v>1379</v>
      </c>
      <c r="B977" t="s">
        <v>518</v>
      </c>
      <c r="C977" t="s">
        <v>89</v>
      </c>
      <c r="D977" s="2">
        <v>2135.38</v>
      </c>
      <c r="E977">
        <v>2</v>
      </c>
      <c r="F977">
        <v>0.3</v>
      </c>
      <c r="G977" t="s">
        <v>39</v>
      </c>
      <c r="H977" t="s">
        <v>15</v>
      </c>
      <c r="I977" t="s">
        <v>43</v>
      </c>
      <c r="J977" s="2">
        <f>Table1_1[[#This Row],[Sales]]-Table1_1[[#This Row],[Sales]]*Table1_1[[#This Row],[Discount]]</f>
        <v>1494.7660000000001</v>
      </c>
      <c r="K977" s="1">
        <v>45345</v>
      </c>
      <c r="L977" s="11">
        <v>45346</v>
      </c>
      <c r="M977">
        <f>DATEDIF(Table1_1[[#This Row],[Order Date]],Table1_1[[#This Row],[Ship Date]],"D")</f>
        <v>1</v>
      </c>
    </row>
    <row r="978" spans="1:13" x14ac:dyDescent="0.35">
      <c r="A978" t="s">
        <v>1380</v>
      </c>
      <c r="B978" t="s">
        <v>637</v>
      </c>
      <c r="C978" t="s">
        <v>595</v>
      </c>
      <c r="D978" s="2">
        <v>2003</v>
      </c>
      <c r="E978">
        <v>1</v>
      </c>
      <c r="F978">
        <v>0.1</v>
      </c>
      <c r="G978" t="s">
        <v>39</v>
      </c>
      <c r="H978" t="s">
        <v>21</v>
      </c>
      <c r="I978" t="s">
        <v>43</v>
      </c>
      <c r="J978" s="2">
        <f>Table1_1[[#This Row],[Sales]]-Table1_1[[#This Row],[Sales]]*Table1_1[[#This Row],[Discount]]</f>
        <v>1802.7</v>
      </c>
      <c r="K978" s="1">
        <v>45253</v>
      </c>
      <c r="L978" s="11">
        <v>45258</v>
      </c>
      <c r="M978">
        <f>DATEDIF(Table1_1[[#This Row],[Order Date]],Table1_1[[#This Row],[Ship Date]],"D")</f>
        <v>5</v>
      </c>
    </row>
    <row r="979" spans="1:13" x14ac:dyDescent="0.35">
      <c r="A979" t="s">
        <v>1381</v>
      </c>
      <c r="B979" t="s">
        <v>1382</v>
      </c>
      <c r="C979" t="s">
        <v>240</v>
      </c>
      <c r="D979" s="2">
        <v>1824.36</v>
      </c>
      <c r="E979">
        <v>7</v>
      </c>
      <c r="F979">
        <v>0</v>
      </c>
      <c r="G979" t="s">
        <v>39</v>
      </c>
      <c r="H979" t="s">
        <v>15</v>
      </c>
      <c r="I979" t="s">
        <v>16</v>
      </c>
      <c r="J979" s="2">
        <f>Table1_1[[#This Row],[Sales]]-Table1_1[[#This Row],[Sales]]*Table1_1[[#This Row],[Discount]]</f>
        <v>1824.36</v>
      </c>
      <c r="K979" s="1">
        <v>45319</v>
      </c>
      <c r="L979" s="11">
        <v>45322</v>
      </c>
      <c r="M979">
        <f>DATEDIF(Table1_1[[#This Row],[Order Date]],Table1_1[[#This Row],[Ship Date]],"D")</f>
        <v>3</v>
      </c>
    </row>
    <row r="980" spans="1:13" x14ac:dyDescent="0.35">
      <c r="A980" t="s">
        <v>1383</v>
      </c>
      <c r="B980" t="s">
        <v>353</v>
      </c>
      <c r="C980" t="s">
        <v>443</v>
      </c>
      <c r="D980" s="2">
        <v>4378.97</v>
      </c>
      <c r="E980">
        <v>6</v>
      </c>
      <c r="F980">
        <v>0.3</v>
      </c>
      <c r="G980" t="s">
        <v>39</v>
      </c>
      <c r="H980" t="s">
        <v>21</v>
      </c>
      <c r="I980" t="s">
        <v>16</v>
      </c>
      <c r="J980" s="2">
        <f>Table1_1[[#This Row],[Sales]]-Table1_1[[#This Row],[Sales]]*Table1_1[[#This Row],[Discount]]</f>
        <v>3065.2790000000005</v>
      </c>
      <c r="K980" s="1">
        <v>45651</v>
      </c>
      <c r="L980" s="11">
        <v>45658</v>
      </c>
      <c r="M980">
        <f>DATEDIF(Table1_1[[#This Row],[Order Date]],Table1_1[[#This Row],[Ship Date]],"D")</f>
        <v>7</v>
      </c>
    </row>
    <row r="981" spans="1:13" x14ac:dyDescent="0.35">
      <c r="A981" t="s">
        <v>1384</v>
      </c>
      <c r="B981" t="s">
        <v>382</v>
      </c>
      <c r="C981" t="s">
        <v>105</v>
      </c>
      <c r="D981" s="2">
        <v>3275.3</v>
      </c>
      <c r="E981">
        <v>5</v>
      </c>
      <c r="F981">
        <v>0.1</v>
      </c>
      <c r="G981" t="s">
        <v>39</v>
      </c>
      <c r="H981" t="s">
        <v>21</v>
      </c>
      <c r="I981" t="s">
        <v>20</v>
      </c>
      <c r="J981" s="2">
        <f>Table1_1[[#This Row],[Sales]]-Table1_1[[#This Row],[Sales]]*Table1_1[[#This Row],[Discount]]</f>
        <v>2947.77</v>
      </c>
      <c r="K981" s="1">
        <v>45727</v>
      </c>
      <c r="L981" s="11">
        <v>45730</v>
      </c>
      <c r="M981">
        <f>DATEDIF(Table1_1[[#This Row],[Order Date]],Table1_1[[#This Row],[Ship Date]],"D")</f>
        <v>3</v>
      </c>
    </row>
    <row r="982" spans="1:13" x14ac:dyDescent="0.35">
      <c r="A982" t="s">
        <v>1385</v>
      </c>
      <c r="B982" t="s">
        <v>455</v>
      </c>
      <c r="C982" t="s">
        <v>34</v>
      </c>
      <c r="D982" s="2">
        <v>1483.58</v>
      </c>
      <c r="E982">
        <v>8</v>
      </c>
      <c r="F982">
        <v>0</v>
      </c>
      <c r="G982" t="s">
        <v>14</v>
      </c>
      <c r="H982" t="s">
        <v>21</v>
      </c>
      <c r="I982" t="s">
        <v>43</v>
      </c>
      <c r="J982" s="2">
        <f>Table1_1[[#This Row],[Sales]]-Table1_1[[#This Row],[Sales]]*Table1_1[[#This Row],[Discount]]</f>
        <v>1483.58</v>
      </c>
      <c r="K982" s="1">
        <v>45143</v>
      </c>
      <c r="L982" s="11">
        <v>45145</v>
      </c>
      <c r="M982">
        <f>DATEDIF(Table1_1[[#This Row],[Order Date]],Table1_1[[#This Row],[Ship Date]],"D")</f>
        <v>2</v>
      </c>
    </row>
    <row r="983" spans="1:13" x14ac:dyDescent="0.35">
      <c r="A983" t="s">
        <v>1386</v>
      </c>
      <c r="B983" t="s">
        <v>971</v>
      </c>
      <c r="C983" t="s">
        <v>268</v>
      </c>
      <c r="D983" s="2">
        <v>929.1</v>
      </c>
      <c r="E983">
        <v>7</v>
      </c>
      <c r="F983">
        <v>0.3</v>
      </c>
      <c r="G983" t="s">
        <v>39</v>
      </c>
      <c r="H983" t="s">
        <v>21</v>
      </c>
      <c r="I983" t="s">
        <v>43</v>
      </c>
      <c r="J983" s="2">
        <f>Table1_1[[#This Row],[Sales]]-Table1_1[[#This Row],[Sales]]*Table1_1[[#This Row],[Discount]]</f>
        <v>650.37</v>
      </c>
      <c r="K983" s="1">
        <v>45089</v>
      </c>
      <c r="L983" s="11">
        <v>45092</v>
      </c>
      <c r="M983">
        <f>DATEDIF(Table1_1[[#This Row],[Order Date]],Table1_1[[#This Row],[Ship Date]],"D")</f>
        <v>3</v>
      </c>
    </row>
    <row r="984" spans="1:13" x14ac:dyDescent="0.35">
      <c r="A984" t="s">
        <v>1387</v>
      </c>
      <c r="B984" t="s">
        <v>182</v>
      </c>
      <c r="C984" t="s">
        <v>128</v>
      </c>
      <c r="D984" s="2">
        <v>4533.9399999999996</v>
      </c>
      <c r="E984">
        <v>9</v>
      </c>
      <c r="F984">
        <v>0.2</v>
      </c>
      <c r="G984" t="s">
        <v>14</v>
      </c>
      <c r="H984" t="s">
        <v>21</v>
      </c>
      <c r="I984" t="s">
        <v>43</v>
      </c>
      <c r="J984" s="2">
        <f>Table1_1[[#This Row],[Sales]]-Table1_1[[#This Row],[Sales]]*Table1_1[[#This Row],[Discount]]</f>
        <v>3627.1519999999996</v>
      </c>
      <c r="K984" s="1">
        <v>45565</v>
      </c>
      <c r="L984" s="11">
        <v>45568</v>
      </c>
      <c r="M984">
        <f>DATEDIF(Table1_1[[#This Row],[Order Date]],Table1_1[[#This Row],[Ship Date]],"D")</f>
        <v>3</v>
      </c>
    </row>
    <row r="985" spans="1:13" x14ac:dyDescent="0.35">
      <c r="A985" t="s">
        <v>1388</v>
      </c>
      <c r="B985" t="s">
        <v>117</v>
      </c>
      <c r="C985" t="s">
        <v>336</v>
      </c>
      <c r="D985" s="2">
        <v>581.16</v>
      </c>
      <c r="E985">
        <v>10</v>
      </c>
      <c r="F985">
        <v>0.2</v>
      </c>
      <c r="G985" t="s">
        <v>39</v>
      </c>
      <c r="H985" t="s">
        <v>15</v>
      </c>
      <c r="I985" t="s">
        <v>20</v>
      </c>
      <c r="J985" s="2">
        <f>Table1_1[[#This Row],[Sales]]-Table1_1[[#This Row],[Sales]]*Table1_1[[#This Row],[Discount]]</f>
        <v>464.928</v>
      </c>
      <c r="K985" s="1">
        <v>45757</v>
      </c>
      <c r="L985" s="11">
        <v>45764</v>
      </c>
      <c r="M985">
        <f>DATEDIF(Table1_1[[#This Row],[Order Date]],Table1_1[[#This Row],[Ship Date]],"D")</f>
        <v>7</v>
      </c>
    </row>
    <row r="986" spans="1:13" x14ac:dyDescent="0.35">
      <c r="A986" t="s">
        <v>1389</v>
      </c>
      <c r="B986" t="s">
        <v>457</v>
      </c>
      <c r="C986" t="s">
        <v>207</v>
      </c>
      <c r="D986" s="2">
        <v>1865.51</v>
      </c>
      <c r="E986">
        <v>9</v>
      </c>
      <c r="F986">
        <v>0.3</v>
      </c>
      <c r="G986" t="s">
        <v>19</v>
      </c>
      <c r="H986" t="s">
        <v>15</v>
      </c>
      <c r="I986" t="s">
        <v>20</v>
      </c>
      <c r="J986" s="2">
        <f>Table1_1[[#This Row],[Sales]]-Table1_1[[#This Row],[Sales]]*Table1_1[[#This Row],[Discount]]</f>
        <v>1305.857</v>
      </c>
      <c r="K986" s="1">
        <v>44967</v>
      </c>
      <c r="L986" s="11">
        <v>44973</v>
      </c>
      <c r="M986">
        <f>DATEDIF(Table1_1[[#This Row],[Order Date]],Table1_1[[#This Row],[Ship Date]],"D")</f>
        <v>6</v>
      </c>
    </row>
    <row r="987" spans="1:13" x14ac:dyDescent="0.35">
      <c r="A987" t="s">
        <v>1390</v>
      </c>
      <c r="B987" t="s">
        <v>1019</v>
      </c>
      <c r="C987" t="s">
        <v>234</v>
      </c>
      <c r="D987" s="2">
        <v>726.57</v>
      </c>
      <c r="E987">
        <v>9</v>
      </c>
      <c r="F987">
        <v>0.2</v>
      </c>
      <c r="G987" t="s">
        <v>14</v>
      </c>
      <c r="H987" t="s">
        <v>21</v>
      </c>
      <c r="I987" t="s">
        <v>20</v>
      </c>
      <c r="J987" s="2">
        <f>Table1_1[[#This Row],[Sales]]-Table1_1[[#This Row],[Sales]]*Table1_1[[#This Row],[Discount]]</f>
        <v>581.25600000000009</v>
      </c>
      <c r="K987" s="1">
        <v>45004</v>
      </c>
      <c r="L987" s="11">
        <v>45005</v>
      </c>
      <c r="M987">
        <f>DATEDIF(Table1_1[[#This Row],[Order Date]],Table1_1[[#This Row],[Ship Date]],"D")</f>
        <v>1</v>
      </c>
    </row>
    <row r="988" spans="1:13" x14ac:dyDescent="0.35">
      <c r="A988" t="s">
        <v>1391</v>
      </c>
      <c r="B988" t="s">
        <v>561</v>
      </c>
      <c r="C988" t="s">
        <v>376</v>
      </c>
      <c r="D988" s="2">
        <v>4447.16</v>
      </c>
      <c r="E988">
        <v>10</v>
      </c>
      <c r="F988">
        <v>0.3</v>
      </c>
      <c r="G988" t="s">
        <v>39</v>
      </c>
      <c r="H988" t="s">
        <v>21</v>
      </c>
      <c r="I988" t="s">
        <v>16</v>
      </c>
      <c r="J988" s="2">
        <f>Table1_1[[#This Row],[Sales]]-Table1_1[[#This Row],[Sales]]*Table1_1[[#This Row],[Discount]]</f>
        <v>3113.0119999999997</v>
      </c>
      <c r="K988" s="1">
        <v>44976</v>
      </c>
      <c r="L988" s="11">
        <v>44982</v>
      </c>
      <c r="M988">
        <f>DATEDIF(Table1_1[[#This Row],[Order Date]],Table1_1[[#This Row],[Ship Date]],"D")</f>
        <v>6</v>
      </c>
    </row>
    <row r="989" spans="1:13" x14ac:dyDescent="0.35">
      <c r="A989" t="s">
        <v>1392</v>
      </c>
      <c r="B989" t="s">
        <v>971</v>
      </c>
      <c r="C989" t="s">
        <v>214</v>
      </c>
      <c r="D989" s="2">
        <v>2001.01</v>
      </c>
      <c r="E989">
        <v>6</v>
      </c>
      <c r="F989">
        <v>0.1</v>
      </c>
      <c r="G989" t="s">
        <v>39</v>
      </c>
      <c r="H989" t="s">
        <v>21</v>
      </c>
      <c r="I989" t="s">
        <v>16</v>
      </c>
      <c r="J989" s="2">
        <f>Table1_1[[#This Row],[Sales]]-Table1_1[[#This Row],[Sales]]*Table1_1[[#This Row],[Discount]]</f>
        <v>1800.9090000000001</v>
      </c>
      <c r="K989" s="1">
        <v>45264</v>
      </c>
      <c r="L989" s="11">
        <v>45268</v>
      </c>
      <c r="M989">
        <f>DATEDIF(Table1_1[[#This Row],[Order Date]],Table1_1[[#This Row],[Ship Date]],"D")</f>
        <v>4</v>
      </c>
    </row>
    <row r="990" spans="1:13" x14ac:dyDescent="0.35">
      <c r="A990" t="s">
        <v>1393</v>
      </c>
      <c r="B990" t="s">
        <v>165</v>
      </c>
      <c r="C990" t="s">
        <v>542</v>
      </c>
      <c r="D990" s="2">
        <v>738.27</v>
      </c>
      <c r="E990">
        <v>7</v>
      </c>
      <c r="F990">
        <v>0.3</v>
      </c>
      <c r="G990" t="s">
        <v>19</v>
      </c>
      <c r="H990" t="s">
        <v>15</v>
      </c>
      <c r="I990" t="s">
        <v>43</v>
      </c>
      <c r="J990" s="2">
        <f>Table1_1[[#This Row],[Sales]]-Table1_1[[#This Row],[Sales]]*Table1_1[[#This Row],[Discount]]</f>
        <v>516.78899999999999</v>
      </c>
      <c r="K990" s="1">
        <v>45346</v>
      </c>
      <c r="L990" s="11">
        <v>45349</v>
      </c>
      <c r="M990">
        <f>DATEDIF(Table1_1[[#This Row],[Order Date]],Table1_1[[#This Row],[Ship Date]],"D")</f>
        <v>3</v>
      </c>
    </row>
    <row r="991" spans="1:13" x14ac:dyDescent="0.35">
      <c r="A991" t="s">
        <v>1394</v>
      </c>
      <c r="B991" t="s">
        <v>18</v>
      </c>
      <c r="C991" t="s">
        <v>229</v>
      </c>
      <c r="D991" s="2">
        <v>1779.67</v>
      </c>
      <c r="E991">
        <v>2</v>
      </c>
      <c r="F991">
        <v>0</v>
      </c>
      <c r="G991" t="s">
        <v>14</v>
      </c>
      <c r="H991" t="s">
        <v>21</v>
      </c>
      <c r="I991" t="s">
        <v>43</v>
      </c>
      <c r="J991" s="2">
        <f>Table1_1[[#This Row],[Sales]]-Table1_1[[#This Row],[Sales]]*Table1_1[[#This Row],[Discount]]</f>
        <v>1779.67</v>
      </c>
      <c r="K991" s="1">
        <v>45567</v>
      </c>
      <c r="L991" s="11">
        <v>45573</v>
      </c>
      <c r="M991">
        <f>DATEDIF(Table1_1[[#This Row],[Order Date]],Table1_1[[#This Row],[Ship Date]],"D")</f>
        <v>6</v>
      </c>
    </row>
    <row r="992" spans="1:13" x14ac:dyDescent="0.35">
      <c r="A992" t="s">
        <v>1395</v>
      </c>
      <c r="B992" t="s">
        <v>162</v>
      </c>
      <c r="C992" t="s">
        <v>204</v>
      </c>
      <c r="D992" s="2">
        <v>2955.8</v>
      </c>
      <c r="E992">
        <v>3</v>
      </c>
      <c r="F992">
        <v>0.3</v>
      </c>
      <c r="G992" t="s">
        <v>14</v>
      </c>
      <c r="H992" t="s">
        <v>21</v>
      </c>
      <c r="I992" t="s">
        <v>43</v>
      </c>
      <c r="J992" s="2">
        <f>Table1_1[[#This Row],[Sales]]-Table1_1[[#This Row],[Sales]]*Table1_1[[#This Row],[Discount]]</f>
        <v>2069.0600000000004</v>
      </c>
      <c r="K992" s="1">
        <v>45460</v>
      </c>
      <c r="L992" s="11">
        <v>45462</v>
      </c>
      <c r="M992">
        <f>DATEDIF(Table1_1[[#This Row],[Order Date]],Table1_1[[#This Row],[Ship Date]],"D")</f>
        <v>2</v>
      </c>
    </row>
    <row r="993" spans="1:13" x14ac:dyDescent="0.35">
      <c r="A993" t="s">
        <v>1396</v>
      </c>
      <c r="B993" t="s">
        <v>599</v>
      </c>
      <c r="C993" t="s">
        <v>726</v>
      </c>
      <c r="D993" s="2">
        <v>3064.59</v>
      </c>
      <c r="E993">
        <v>1</v>
      </c>
      <c r="F993">
        <v>0.3</v>
      </c>
      <c r="G993" t="s">
        <v>39</v>
      </c>
      <c r="H993" t="s">
        <v>15</v>
      </c>
      <c r="I993" t="s">
        <v>20</v>
      </c>
      <c r="J993" s="2">
        <f>Table1_1[[#This Row],[Sales]]-Table1_1[[#This Row],[Sales]]*Table1_1[[#This Row],[Discount]]</f>
        <v>2145.2130000000002</v>
      </c>
      <c r="K993" s="1">
        <v>45509</v>
      </c>
      <c r="L993" s="11">
        <v>45512</v>
      </c>
      <c r="M993">
        <f>DATEDIF(Table1_1[[#This Row],[Order Date]],Table1_1[[#This Row],[Ship Date]],"D")</f>
        <v>3</v>
      </c>
    </row>
    <row r="994" spans="1:13" x14ac:dyDescent="0.35">
      <c r="A994" t="s">
        <v>1397</v>
      </c>
      <c r="B994" t="s">
        <v>1398</v>
      </c>
      <c r="C994" t="s">
        <v>207</v>
      </c>
      <c r="D994" s="2">
        <v>268.89</v>
      </c>
      <c r="E994">
        <v>10</v>
      </c>
      <c r="F994">
        <v>0.3</v>
      </c>
      <c r="G994" t="s">
        <v>14</v>
      </c>
      <c r="H994" t="s">
        <v>15</v>
      </c>
      <c r="I994" t="s">
        <v>16</v>
      </c>
      <c r="J994" s="2">
        <f>Table1_1[[#This Row],[Sales]]-Table1_1[[#This Row],[Sales]]*Table1_1[[#This Row],[Discount]]</f>
        <v>188.22300000000001</v>
      </c>
      <c r="K994" s="1">
        <v>45097</v>
      </c>
      <c r="L994" s="11">
        <v>45103</v>
      </c>
      <c r="M994">
        <f>DATEDIF(Table1_1[[#This Row],[Order Date]],Table1_1[[#This Row],[Ship Date]],"D")</f>
        <v>6</v>
      </c>
    </row>
    <row r="995" spans="1:13" x14ac:dyDescent="0.35">
      <c r="A995" t="s">
        <v>1399</v>
      </c>
      <c r="B995" t="s">
        <v>472</v>
      </c>
      <c r="C995" t="s">
        <v>388</v>
      </c>
      <c r="D995" s="2">
        <v>2700</v>
      </c>
      <c r="E995">
        <v>10</v>
      </c>
      <c r="F995">
        <v>0.2</v>
      </c>
      <c r="G995" t="s">
        <v>14</v>
      </c>
      <c r="H995" t="s">
        <v>21</v>
      </c>
      <c r="I995" t="s">
        <v>16</v>
      </c>
      <c r="J995" s="2">
        <f>Table1_1[[#This Row],[Sales]]-Table1_1[[#This Row],[Sales]]*Table1_1[[#This Row],[Discount]]</f>
        <v>2160</v>
      </c>
      <c r="K995" s="1">
        <v>45788</v>
      </c>
      <c r="L995" s="11">
        <v>45789</v>
      </c>
      <c r="M995">
        <f>DATEDIF(Table1_1[[#This Row],[Order Date]],Table1_1[[#This Row],[Ship Date]],"D")</f>
        <v>1</v>
      </c>
    </row>
    <row r="996" spans="1:13" x14ac:dyDescent="0.35">
      <c r="A996" t="s">
        <v>1400</v>
      </c>
      <c r="B996" t="s">
        <v>652</v>
      </c>
      <c r="C996" t="s">
        <v>166</v>
      </c>
      <c r="D996" s="2">
        <v>4762.3100000000004</v>
      </c>
      <c r="E996">
        <v>6</v>
      </c>
      <c r="F996">
        <v>0</v>
      </c>
      <c r="G996" t="s">
        <v>39</v>
      </c>
      <c r="H996" t="s">
        <v>21</v>
      </c>
      <c r="I996" t="s">
        <v>43</v>
      </c>
      <c r="J996" s="2">
        <f>Table1_1[[#This Row],[Sales]]-Table1_1[[#This Row],[Sales]]*Table1_1[[#This Row],[Discount]]</f>
        <v>4762.3100000000004</v>
      </c>
      <c r="K996" s="1">
        <v>45453</v>
      </c>
      <c r="L996" s="11">
        <v>45456</v>
      </c>
      <c r="M996">
        <f>DATEDIF(Table1_1[[#This Row],[Order Date]],Table1_1[[#This Row],[Ship Date]],"D")</f>
        <v>3</v>
      </c>
    </row>
    <row r="997" spans="1:13" x14ac:dyDescent="0.35">
      <c r="A997" t="s">
        <v>1401</v>
      </c>
      <c r="B997" t="s">
        <v>704</v>
      </c>
      <c r="C997" t="s">
        <v>211</v>
      </c>
      <c r="D997" s="2">
        <v>4503.21</v>
      </c>
      <c r="E997">
        <v>10</v>
      </c>
      <c r="F997">
        <v>0.2</v>
      </c>
      <c r="G997" t="s">
        <v>14</v>
      </c>
      <c r="H997" t="s">
        <v>15</v>
      </c>
      <c r="I997" t="s">
        <v>43</v>
      </c>
      <c r="J997" s="2">
        <f>Table1_1[[#This Row],[Sales]]-Table1_1[[#This Row],[Sales]]*Table1_1[[#This Row],[Discount]]</f>
        <v>3602.5680000000002</v>
      </c>
      <c r="K997" s="1">
        <v>45180</v>
      </c>
      <c r="L997" s="11">
        <v>45187</v>
      </c>
      <c r="M997">
        <f>DATEDIF(Table1_1[[#This Row],[Order Date]],Table1_1[[#This Row],[Ship Date]],"D")</f>
        <v>7</v>
      </c>
    </row>
    <row r="998" spans="1:13" x14ac:dyDescent="0.35">
      <c r="A998" t="s">
        <v>1402</v>
      </c>
      <c r="B998" t="s">
        <v>275</v>
      </c>
      <c r="C998" t="s">
        <v>458</v>
      </c>
      <c r="D998" s="2">
        <v>2337.4299999999998</v>
      </c>
      <c r="E998">
        <v>8</v>
      </c>
      <c r="F998">
        <v>0.2</v>
      </c>
      <c r="G998" t="s">
        <v>19</v>
      </c>
      <c r="H998" t="s">
        <v>21</v>
      </c>
      <c r="I998" t="s">
        <v>16</v>
      </c>
      <c r="J998" s="2">
        <f>Table1_1[[#This Row],[Sales]]-Table1_1[[#This Row],[Sales]]*Table1_1[[#This Row],[Discount]]</f>
        <v>1869.944</v>
      </c>
      <c r="K998" s="1">
        <v>45272</v>
      </c>
      <c r="L998" s="11">
        <v>45275</v>
      </c>
      <c r="M998">
        <f>DATEDIF(Table1_1[[#This Row],[Order Date]],Table1_1[[#This Row],[Ship Date]],"D")</f>
        <v>3</v>
      </c>
    </row>
    <row r="999" spans="1:13" x14ac:dyDescent="0.35">
      <c r="A999" t="s">
        <v>1403</v>
      </c>
      <c r="B999" t="s">
        <v>245</v>
      </c>
      <c r="C999" t="s">
        <v>291</v>
      </c>
      <c r="D999" s="2">
        <v>3767.49</v>
      </c>
      <c r="E999">
        <v>7</v>
      </c>
      <c r="F999">
        <v>0.3</v>
      </c>
      <c r="G999" t="s">
        <v>19</v>
      </c>
      <c r="H999" t="s">
        <v>15</v>
      </c>
      <c r="I999" t="s">
        <v>16</v>
      </c>
      <c r="J999" s="2">
        <f>Table1_1[[#This Row],[Sales]]-Table1_1[[#This Row],[Sales]]*Table1_1[[#This Row],[Discount]]</f>
        <v>2637.2429999999999</v>
      </c>
      <c r="K999" s="1">
        <v>45435</v>
      </c>
      <c r="L999" s="11">
        <v>45441</v>
      </c>
      <c r="M999">
        <f>DATEDIF(Table1_1[[#This Row],[Order Date]],Table1_1[[#This Row],[Ship Date]],"D")</f>
        <v>6</v>
      </c>
    </row>
    <row r="1000" spans="1:13" x14ac:dyDescent="0.35">
      <c r="A1000" t="s">
        <v>1404</v>
      </c>
      <c r="B1000" t="s">
        <v>284</v>
      </c>
      <c r="C1000" t="s">
        <v>82</v>
      </c>
      <c r="D1000" s="2">
        <v>3025.85</v>
      </c>
      <c r="E1000">
        <v>9</v>
      </c>
      <c r="F1000">
        <v>0</v>
      </c>
      <c r="G1000" t="s">
        <v>19</v>
      </c>
      <c r="H1000" t="s">
        <v>15</v>
      </c>
      <c r="I1000" t="s">
        <v>20</v>
      </c>
      <c r="J1000" s="2">
        <f>Table1_1[[#This Row],[Sales]]-Table1_1[[#This Row],[Sales]]*Table1_1[[#This Row],[Discount]]</f>
        <v>3025.85</v>
      </c>
      <c r="K1000" s="1">
        <v>45458</v>
      </c>
      <c r="L1000" s="11">
        <v>45459</v>
      </c>
      <c r="M1000">
        <f>DATEDIF(Table1_1[[#This Row],[Order Date]],Table1_1[[#This Row],[Ship Date]],"D")</f>
        <v>1</v>
      </c>
    </row>
    <row r="1001" spans="1:13" x14ac:dyDescent="0.35">
      <c r="A1001" t="s">
        <v>1405</v>
      </c>
      <c r="B1001" t="s">
        <v>632</v>
      </c>
      <c r="C1001" t="s">
        <v>82</v>
      </c>
      <c r="D1001" s="2">
        <v>1193.0999999999999</v>
      </c>
      <c r="E1001">
        <v>1</v>
      </c>
      <c r="F1001">
        <v>0</v>
      </c>
      <c r="G1001" t="s">
        <v>14</v>
      </c>
      <c r="H1001" t="s">
        <v>15</v>
      </c>
      <c r="I1001" t="s">
        <v>43</v>
      </c>
      <c r="J1001" s="2">
        <f>Table1_1[[#This Row],[Sales]]-Table1_1[[#This Row],[Sales]]*Table1_1[[#This Row],[Discount]]</f>
        <v>1193.0999999999999</v>
      </c>
      <c r="K1001" s="1">
        <v>45735</v>
      </c>
      <c r="L1001" s="11">
        <v>45737</v>
      </c>
      <c r="M1001">
        <f>DATEDIF(Table1_1[[#This Row],[Order Date]],Table1_1[[#This Row],[Ship Date]],"D")</f>
        <v>2</v>
      </c>
    </row>
    <row r="1002" spans="1:13" x14ac:dyDescent="0.35">
      <c r="A1002" t="s">
        <v>1406</v>
      </c>
      <c r="B1002" t="s">
        <v>486</v>
      </c>
      <c r="C1002" t="s">
        <v>13</v>
      </c>
      <c r="D1002" s="2">
        <v>270.42</v>
      </c>
      <c r="E1002">
        <v>8</v>
      </c>
      <c r="F1002">
        <v>0.2</v>
      </c>
      <c r="G1002" t="s">
        <v>14</v>
      </c>
      <c r="H1002" t="s">
        <v>21</v>
      </c>
      <c r="I1002" t="s">
        <v>20</v>
      </c>
      <c r="J1002" s="2">
        <f>Table1_1[[#This Row],[Sales]]-Table1_1[[#This Row],[Sales]]*Table1_1[[#This Row],[Discount]]</f>
        <v>216.33600000000001</v>
      </c>
      <c r="K1002" s="1">
        <v>45245</v>
      </c>
      <c r="L1002" s="11">
        <v>45247</v>
      </c>
      <c r="M1002">
        <f>DATEDIF(Table1_1[[#This Row],[Order Date]],Table1_1[[#This Row],[Ship Date]],"D")</f>
        <v>2</v>
      </c>
    </row>
    <row r="1003" spans="1:13" x14ac:dyDescent="0.35">
      <c r="A1003" t="s">
        <v>1407</v>
      </c>
      <c r="B1003" t="s">
        <v>674</v>
      </c>
      <c r="C1003" t="s">
        <v>696</v>
      </c>
      <c r="D1003" s="2">
        <v>2284.13</v>
      </c>
      <c r="E1003">
        <v>4</v>
      </c>
      <c r="F1003">
        <v>0.2</v>
      </c>
      <c r="G1003" t="s">
        <v>14</v>
      </c>
      <c r="H1003" t="s">
        <v>15</v>
      </c>
      <c r="I1003" t="s">
        <v>43</v>
      </c>
      <c r="J1003" s="2">
        <f>Table1_1[[#This Row],[Sales]]-Table1_1[[#This Row],[Sales]]*Table1_1[[#This Row],[Discount]]</f>
        <v>1827.3040000000001</v>
      </c>
      <c r="K1003" s="1">
        <v>45350</v>
      </c>
      <c r="L1003" s="11">
        <v>45357</v>
      </c>
      <c r="M1003">
        <f>DATEDIF(Table1_1[[#This Row],[Order Date]],Table1_1[[#This Row],[Ship Date]],"D")</f>
        <v>7</v>
      </c>
    </row>
    <row r="1004" spans="1:13" x14ac:dyDescent="0.35">
      <c r="A1004" t="s">
        <v>1408</v>
      </c>
      <c r="B1004" t="s">
        <v>414</v>
      </c>
      <c r="C1004" t="s">
        <v>223</v>
      </c>
      <c r="D1004" s="2">
        <v>1742.97</v>
      </c>
      <c r="E1004">
        <v>1</v>
      </c>
      <c r="F1004">
        <v>0</v>
      </c>
      <c r="G1004" t="s">
        <v>14</v>
      </c>
      <c r="H1004" t="s">
        <v>15</v>
      </c>
      <c r="I1004" t="s">
        <v>16</v>
      </c>
      <c r="J1004" s="2">
        <f>Table1_1[[#This Row],[Sales]]-Table1_1[[#This Row],[Sales]]*Table1_1[[#This Row],[Discount]]</f>
        <v>1742.97</v>
      </c>
      <c r="K1004" s="1">
        <v>45608</v>
      </c>
      <c r="L1004" s="11">
        <v>45609</v>
      </c>
      <c r="M1004">
        <f>DATEDIF(Table1_1[[#This Row],[Order Date]],Table1_1[[#This Row],[Ship Date]],"D")</f>
        <v>1</v>
      </c>
    </row>
    <row r="1005" spans="1:13" x14ac:dyDescent="0.35">
      <c r="A1005" t="s">
        <v>1409</v>
      </c>
      <c r="B1005" t="s">
        <v>1066</v>
      </c>
      <c r="C1005" t="s">
        <v>726</v>
      </c>
      <c r="D1005" s="2">
        <v>4487.76</v>
      </c>
      <c r="E1005">
        <v>1</v>
      </c>
      <c r="F1005">
        <v>0</v>
      </c>
      <c r="G1005" t="s">
        <v>14</v>
      </c>
      <c r="H1005" t="s">
        <v>15</v>
      </c>
      <c r="I1005" t="s">
        <v>16</v>
      </c>
      <c r="J1005" s="2">
        <f>Table1_1[[#This Row],[Sales]]-Table1_1[[#This Row],[Sales]]*Table1_1[[#This Row],[Discount]]</f>
        <v>4487.76</v>
      </c>
      <c r="K1005" s="1">
        <v>45568</v>
      </c>
      <c r="L1005" s="11">
        <v>45569</v>
      </c>
      <c r="M1005">
        <f>DATEDIF(Table1_1[[#This Row],[Order Date]],Table1_1[[#This Row],[Ship Date]],"D")</f>
        <v>1</v>
      </c>
    </row>
    <row r="1006" spans="1:13" x14ac:dyDescent="0.35">
      <c r="A1006" t="s">
        <v>1410</v>
      </c>
      <c r="B1006" t="s">
        <v>18</v>
      </c>
      <c r="C1006" t="s">
        <v>259</v>
      </c>
      <c r="D1006" s="2">
        <v>3102.25</v>
      </c>
      <c r="E1006">
        <v>1</v>
      </c>
      <c r="F1006">
        <v>0.3</v>
      </c>
      <c r="G1006" t="s">
        <v>14</v>
      </c>
      <c r="H1006" t="s">
        <v>21</v>
      </c>
      <c r="I1006" t="s">
        <v>20</v>
      </c>
      <c r="J1006" s="2">
        <f>Table1_1[[#This Row],[Sales]]-Table1_1[[#This Row],[Sales]]*Table1_1[[#This Row],[Discount]]</f>
        <v>2171.5749999999998</v>
      </c>
      <c r="K1006" s="1">
        <v>45395</v>
      </c>
      <c r="L1006" s="11">
        <v>45401</v>
      </c>
      <c r="M1006">
        <f>DATEDIF(Table1_1[[#This Row],[Order Date]],Table1_1[[#This Row],[Ship Date]],"D")</f>
        <v>6</v>
      </c>
    </row>
    <row r="1007" spans="1:13" x14ac:dyDescent="0.35">
      <c r="A1007" t="s">
        <v>1411</v>
      </c>
      <c r="B1007" t="s">
        <v>1002</v>
      </c>
      <c r="C1007" t="s">
        <v>273</v>
      </c>
      <c r="D1007" s="2">
        <v>748.6</v>
      </c>
      <c r="E1007">
        <v>7</v>
      </c>
      <c r="F1007">
        <v>0.3</v>
      </c>
      <c r="G1007" t="s">
        <v>19</v>
      </c>
      <c r="H1007" t="s">
        <v>15</v>
      </c>
      <c r="I1007" t="s">
        <v>43</v>
      </c>
      <c r="J1007" s="2">
        <f>Table1_1[[#This Row],[Sales]]-Table1_1[[#This Row],[Sales]]*Table1_1[[#This Row],[Discount]]</f>
        <v>524.02</v>
      </c>
      <c r="K1007" s="1">
        <v>45375</v>
      </c>
      <c r="L1007" s="11">
        <v>45380</v>
      </c>
      <c r="M1007">
        <f>DATEDIF(Table1_1[[#This Row],[Order Date]],Table1_1[[#This Row],[Ship Date]],"D")</f>
        <v>5</v>
      </c>
    </row>
    <row r="1008" spans="1:13" x14ac:dyDescent="0.35">
      <c r="A1008" t="s">
        <v>1412</v>
      </c>
      <c r="B1008" t="s">
        <v>248</v>
      </c>
      <c r="C1008" t="s">
        <v>197</v>
      </c>
      <c r="D1008" s="2">
        <v>4238.3599999999997</v>
      </c>
      <c r="E1008">
        <v>8</v>
      </c>
      <c r="F1008">
        <v>0.1</v>
      </c>
      <c r="G1008" t="s">
        <v>14</v>
      </c>
      <c r="H1008" t="s">
        <v>15</v>
      </c>
      <c r="I1008" t="s">
        <v>43</v>
      </c>
      <c r="J1008" s="2">
        <f>Table1_1[[#This Row],[Sales]]-Table1_1[[#This Row],[Sales]]*Table1_1[[#This Row],[Discount]]</f>
        <v>3814.5239999999994</v>
      </c>
      <c r="K1008" s="1">
        <v>45511</v>
      </c>
      <c r="L1008" s="11">
        <v>45517</v>
      </c>
      <c r="M1008">
        <f>DATEDIF(Table1_1[[#This Row],[Order Date]],Table1_1[[#This Row],[Ship Date]],"D")</f>
        <v>6</v>
      </c>
    </row>
    <row r="1009" spans="1:13" x14ac:dyDescent="0.35">
      <c r="A1009" t="s">
        <v>1413</v>
      </c>
      <c r="B1009" t="s">
        <v>522</v>
      </c>
      <c r="C1009" t="s">
        <v>357</v>
      </c>
      <c r="D1009" s="2">
        <v>590.63</v>
      </c>
      <c r="E1009">
        <v>3</v>
      </c>
      <c r="F1009">
        <v>0</v>
      </c>
      <c r="G1009" t="s">
        <v>39</v>
      </c>
      <c r="H1009" t="s">
        <v>21</v>
      </c>
      <c r="I1009" t="s">
        <v>16</v>
      </c>
      <c r="J1009" s="2">
        <f>Table1_1[[#This Row],[Sales]]-Table1_1[[#This Row],[Sales]]*Table1_1[[#This Row],[Discount]]</f>
        <v>590.63</v>
      </c>
      <c r="K1009" s="1">
        <v>45099</v>
      </c>
      <c r="L1009" s="11">
        <v>45102</v>
      </c>
      <c r="M1009">
        <f>DATEDIF(Table1_1[[#This Row],[Order Date]],Table1_1[[#This Row],[Ship Date]],"D")</f>
        <v>3</v>
      </c>
    </row>
    <row r="1010" spans="1:13" x14ac:dyDescent="0.35">
      <c r="A1010" t="s">
        <v>1414</v>
      </c>
      <c r="B1010" t="s">
        <v>842</v>
      </c>
      <c r="C1010" t="s">
        <v>336</v>
      </c>
      <c r="D1010" s="2">
        <v>2033.4</v>
      </c>
      <c r="E1010">
        <v>6</v>
      </c>
      <c r="F1010">
        <v>0.3</v>
      </c>
      <c r="G1010" t="s">
        <v>19</v>
      </c>
      <c r="H1010" t="s">
        <v>15</v>
      </c>
      <c r="I1010" t="s">
        <v>20</v>
      </c>
      <c r="J1010" s="2">
        <f>Table1_1[[#This Row],[Sales]]-Table1_1[[#This Row],[Sales]]*Table1_1[[#This Row],[Discount]]</f>
        <v>1423.38</v>
      </c>
      <c r="K1010" s="1">
        <v>44932</v>
      </c>
      <c r="L1010" s="11">
        <v>44936</v>
      </c>
      <c r="M1010">
        <f>DATEDIF(Table1_1[[#This Row],[Order Date]],Table1_1[[#This Row],[Ship Date]],"D")</f>
        <v>4</v>
      </c>
    </row>
    <row r="1011" spans="1:13" x14ac:dyDescent="0.35">
      <c r="A1011" t="s">
        <v>1415</v>
      </c>
      <c r="B1011" t="s">
        <v>196</v>
      </c>
      <c r="C1011" t="s">
        <v>265</v>
      </c>
      <c r="D1011" s="2">
        <v>2685.03</v>
      </c>
      <c r="E1011">
        <v>1</v>
      </c>
      <c r="F1011">
        <v>0.1</v>
      </c>
      <c r="G1011" t="s">
        <v>14</v>
      </c>
      <c r="H1011" t="s">
        <v>21</v>
      </c>
      <c r="I1011" t="s">
        <v>16</v>
      </c>
      <c r="J1011" s="2">
        <f>Table1_1[[#This Row],[Sales]]-Table1_1[[#This Row],[Sales]]*Table1_1[[#This Row],[Discount]]</f>
        <v>2416.527</v>
      </c>
      <c r="K1011" s="1">
        <v>45337</v>
      </c>
      <c r="L1011" s="11">
        <v>45344</v>
      </c>
      <c r="M1011">
        <f>DATEDIF(Table1_1[[#This Row],[Order Date]],Table1_1[[#This Row],[Ship Date]],"D")</f>
        <v>7</v>
      </c>
    </row>
    <row r="1012" spans="1:13" x14ac:dyDescent="0.35">
      <c r="A1012" t="s">
        <v>1416</v>
      </c>
      <c r="B1012" t="s">
        <v>209</v>
      </c>
      <c r="C1012" t="s">
        <v>911</v>
      </c>
      <c r="D1012" s="2">
        <v>4418.96</v>
      </c>
      <c r="E1012">
        <v>9</v>
      </c>
      <c r="F1012">
        <v>0.2</v>
      </c>
      <c r="G1012" t="s">
        <v>39</v>
      </c>
      <c r="H1012" t="s">
        <v>21</v>
      </c>
      <c r="I1012" t="s">
        <v>20</v>
      </c>
      <c r="J1012" s="2">
        <f>Table1_1[[#This Row],[Sales]]-Table1_1[[#This Row],[Sales]]*Table1_1[[#This Row],[Discount]]</f>
        <v>3535.1680000000001</v>
      </c>
      <c r="K1012" s="1">
        <v>45706</v>
      </c>
      <c r="L1012" s="11">
        <v>45709</v>
      </c>
      <c r="M1012">
        <f>DATEDIF(Table1_1[[#This Row],[Order Date]],Table1_1[[#This Row],[Ship Date]],"D")</f>
        <v>3</v>
      </c>
    </row>
    <row r="1013" spans="1:13" x14ac:dyDescent="0.35">
      <c r="A1013" t="s">
        <v>1417</v>
      </c>
      <c r="B1013" t="s">
        <v>603</v>
      </c>
      <c r="C1013" t="s">
        <v>310</v>
      </c>
      <c r="D1013" s="2">
        <v>1827.58</v>
      </c>
      <c r="E1013">
        <v>9</v>
      </c>
      <c r="F1013">
        <v>0.2</v>
      </c>
      <c r="G1013" t="s">
        <v>14</v>
      </c>
      <c r="H1013" t="s">
        <v>15</v>
      </c>
      <c r="I1013" t="s">
        <v>43</v>
      </c>
      <c r="J1013" s="2">
        <f>Table1_1[[#This Row],[Sales]]-Table1_1[[#This Row],[Sales]]*Table1_1[[#This Row],[Discount]]</f>
        <v>1462.0639999999999</v>
      </c>
      <c r="K1013" s="1">
        <v>45697</v>
      </c>
      <c r="L1013" s="11">
        <v>45702</v>
      </c>
      <c r="M1013">
        <f>DATEDIF(Table1_1[[#This Row],[Order Date]],Table1_1[[#This Row],[Ship Date]],"D")</f>
        <v>5</v>
      </c>
    </row>
    <row r="1014" spans="1:13" x14ac:dyDescent="0.35">
      <c r="A1014" t="s">
        <v>1418</v>
      </c>
      <c r="B1014" t="s">
        <v>203</v>
      </c>
      <c r="C1014" t="s">
        <v>246</v>
      </c>
      <c r="D1014" s="2">
        <v>3087.33</v>
      </c>
      <c r="E1014">
        <v>2</v>
      </c>
      <c r="F1014">
        <v>0.1</v>
      </c>
      <c r="G1014" t="s">
        <v>19</v>
      </c>
      <c r="H1014" t="s">
        <v>21</v>
      </c>
      <c r="I1014" t="s">
        <v>43</v>
      </c>
      <c r="J1014" s="2">
        <f>Table1_1[[#This Row],[Sales]]-Table1_1[[#This Row],[Sales]]*Table1_1[[#This Row],[Discount]]</f>
        <v>2778.5969999999998</v>
      </c>
      <c r="K1014" s="1">
        <v>45598</v>
      </c>
      <c r="L1014" s="11">
        <v>45603</v>
      </c>
      <c r="M1014">
        <f>DATEDIF(Table1_1[[#This Row],[Order Date]],Table1_1[[#This Row],[Ship Date]],"D")</f>
        <v>5</v>
      </c>
    </row>
    <row r="1015" spans="1:13" x14ac:dyDescent="0.35">
      <c r="A1015" t="s">
        <v>1419</v>
      </c>
      <c r="B1015" t="s">
        <v>616</v>
      </c>
      <c r="C1015" t="s">
        <v>1012</v>
      </c>
      <c r="D1015" s="2">
        <v>397.41</v>
      </c>
      <c r="E1015">
        <v>1</v>
      </c>
      <c r="F1015">
        <v>0.2</v>
      </c>
      <c r="G1015" t="s">
        <v>19</v>
      </c>
      <c r="H1015" t="s">
        <v>21</v>
      </c>
      <c r="I1015" t="s">
        <v>16</v>
      </c>
      <c r="J1015" s="2">
        <f>Table1_1[[#This Row],[Sales]]-Table1_1[[#This Row],[Sales]]*Table1_1[[#This Row],[Discount]]</f>
        <v>317.928</v>
      </c>
      <c r="K1015" s="1">
        <v>45332</v>
      </c>
      <c r="L1015" s="11">
        <v>45333</v>
      </c>
      <c r="M1015">
        <f>DATEDIF(Table1_1[[#This Row],[Order Date]],Table1_1[[#This Row],[Ship Date]],"D")</f>
        <v>1</v>
      </c>
    </row>
    <row r="1016" spans="1:13" x14ac:dyDescent="0.35">
      <c r="A1016" t="s">
        <v>1420</v>
      </c>
      <c r="B1016" t="s">
        <v>455</v>
      </c>
      <c r="C1016" t="s">
        <v>231</v>
      </c>
      <c r="D1016" s="2">
        <v>1062.46</v>
      </c>
      <c r="E1016">
        <v>3</v>
      </c>
      <c r="F1016">
        <v>0.3</v>
      </c>
      <c r="G1016" t="s">
        <v>39</v>
      </c>
      <c r="H1016" t="s">
        <v>15</v>
      </c>
      <c r="I1016" t="s">
        <v>16</v>
      </c>
      <c r="J1016" s="2">
        <f>Table1_1[[#This Row],[Sales]]-Table1_1[[#This Row],[Sales]]*Table1_1[[#This Row],[Discount]]</f>
        <v>743.72199999999998</v>
      </c>
      <c r="K1016" s="1">
        <v>45237</v>
      </c>
      <c r="L1016" s="11">
        <v>45238</v>
      </c>
      <c r="M1016">
        <f>DATEDIF(Table1_1[[#This Row],[Order Date]],Table1_1[[#This Row],[Ship Date]],"D")</f>
        <v>1</v>
      </c>
    </row>
    <row r="1017" spans="1:13" x14ac:dyDescent="0.35">
      <c r="A1017" t="s">
        <v>1421</v>
      </c>
      <c r="B1017" t="s">
        <v>674</v>
      </c>
      <c r="C1017" t="s">
        <v>376</v>
      </c>
      <c r="D1017" s="2">
        <v>4673.16</v>
      </c>
      <c r="E1017">
        <v>4</v>
      </c>
      <c r="F1017">
        <v>0.1</v>
      </c>
      <c r="G1017" t="s">
        <v>14</v>
      </c>
      <c r="H1017" t="s">
        <v>15</v>
      </c>
      <c r="I1017" t="s">
        <v>43</v>
      </c>
      <c r="J1017" s="2">
        <f>Table1_1[[#This Row],[Sales]]-Table1_1[[#This Row],[Sales]]*Table1_1[[#This Row],[Discount]]</f>
        <v>4205.8440000000001</v>
      </c>
      <c r="K1017" s="1">
        <v>45735</v>
      </c>
      <c r="L1017" s="11">
        <v>45742</v>
      </c>
      <c r="M1017">
        <f>DATEDIF(Table1_1[[#This Row],[Order Date]],Table1_1[[#This Row],[Ship Date]],"D")</f>
        <v>7</v>
      </c>
    </row>
    <row r="1018" spans="1:13" x14ac:dyDescent="0.35">
      <c r="A1018" t="s">
        <v>1422</v>
      </c>
      <c r="B1018" t="s">
        <v>394</v>
      </c>
      <c r="C1018" t="s">
        <v>99</v>
      </c>
      <c r="D1018" s="2">
        <v>2681.31</v>
      </c>
      <c r="E1018">
        <v>5</v>
      </c>
      <c r="F1018">
        <v>0.3</v>
      </c>
      <c r="G1018" t="s">
        <v>39</v>
      </c>
      <c r="H1018" t="s">
        <v>15</v>
      </c>
      <c r="I1018" t="s">
        <v>20</v>
      </c>
      <c r="J1018" s="2">
        <f>Table1_1[[#This Row],[Sales]]-Table1_1[[#This Row],[Sales]]*Table1_1[[#This Row],[Discount]]</f>
        <v>1876.9169999999999</v>
      </c>
      <c r="K1018" s="1">
        <v>45781</v>
      </c>
      <c r="L1018" s="11">
        <v>45786</v>
      </c>
      <c r="M1018">
        <f>DATEDIF(Table1_1[[#This Row],[Order Date]],Table1_1[[#This Row],[Ship Date]],"D")</f>
        <v>5</v>
      </c>
    </row>
    <row r="1019" spans="1:13" x14ac:dyDescent="0.35">
      <c r="A1019" t="s">
        <v>1423</v>
      </c>
      <c r="B1019" t="s">
        <v>796</v>
      </c>
      <c r="C1019" t="s">
        <v>1012</v>
      </c>
      <c r="D1019" s="2">
        <v>4971.08</v>
      </c>
      <c r="E1019">
        <v>5</v>
      </c>
      <c r="F1019">
        <v>0.2</v>
      </c>
      <c r="G1019" t="s">
        <v>14</v>
      </c>
      <c r="H1019" t="s">
        <v>15</v>
      </c>
      <c r="I1019" t="s">
        <v>16</v>
      </c>
      <c r="J1019" s="2">
        <f>Table1_1[[#This Row],[Sales]]-Table1_1[[#This Row],[Sales]]*Table1_1[[#This Row],[Discount]]</f>
        <v>3976.864</v>
      </c>
      <c r="K1019" s="1">
        <v>45203</v>
      </c>
      <c r="L1019" s="11">
        <v>45204</v>
      </c>
      <c r="M1019">
        <f>DATEDIF(Table1_1[[#This Row],[Order Date]],Table1_1[[#This Row],[Ship Date]],"D")</f>
        <v>1</v>
      </c>
    </row>
    <row r="1020" spans="1:13" x14ac:dyDescent="0.35">
      <c r="A1020" t="s">
        <v>1424</v>
      </c>
      <c r="B1020" t="s">
        <v>410</v>
      </c>
      <c r="C1020" t="s">
        <v>152</v>
      </c>
      <c r="D1020" s="2">
        <v>503.39</v>
      </c>
      <c r="E1020">
        <v>6</v>
      </c>
      <c r="F1020">
        <v>0</v>
      </c>
      <c r="G1020" t="s">
        <v>39</v>
      </c>
      <c r="H1020" t="s">
        <v>15</v>
      </c>
      <c r="I1020" t="s">
        <v>43</v>
      </c>
      <c r="J1020" s="2">
        <f>Table1_1[[#This Row],[Sales]]-Table1_1[[#This Row],[Sales]]*Table1_1[[#This Row],[Discount]]</f>
        <v>503.39</v>
      </c>
      <c r="K1020" s="1">
        <v>45093</v>
      </c>
      <c r="L1020" s="11">
        <v>45100</v>
      </c>
      <c r="M1020">
        <f>DATEDIF(Table1_1[[#This Row],[Order Date]],Table1_1[[#This Row],[Ship Date]],"D")</f>
        <v>7</v>
      </c>
    </row>
    <row r="1021" spans="1:13" x14ac:dyDescent="0.35">
      <c r="A1021" t="s">
        <v>1425</v>
      </c>
      <c r="B1021" t="s">
        <v>426</v>
      </c>
      <c r="C1021" t="s">
        <v>756</v>
      </c>
      <c r="D1021" s="2">
        <v>220.52</v>
      </c>
      <c r="E1021">
        <v>7</v>
      </c>
      <c r="F1021">
        <v>0.3</v>
      </c>
      <c r="G1021" t="s">
        <v>14</v>
      </c>
      <c r="H1021" t="s">
        <v>15</v>
      </c>
      <c r="I1021" t="s">
        <v>20</v>
      </c>
      <c r="J1021" s="2">
        <f>Table1_1[[#This Row],[Sales]]-Table1_1[[#This Row],[Sales]]*Table1_1[[#This Row],[Discount]]</f>
        <v>154.364</v>
      </c>
      <c r="K1021" s="1">
        <v>45147</v>
      </c>
      <c r="L1021" s="11">
        <v>45152</v>
      </c>
      <c r="M1021">
        <f>DATEDIF(Table1_1[[#This Row],[Order Date]],Table1_1[[#This Row],[Ship Date]],"D")</f>
        <v>5</v>
      </c>
    </row>
    <row r="1022" spans="1:13" x14ac:dyDescent="0.35">
      <c r="A1022" t="s">
        <v>1426</v>
      </c>
      <c r="B1022" t="s">
        <v>239</v>
      </c>
      <c r="C1022" t="s">
        <v>911</v>
      </c>
      <c r="D1022" s="2">
        <v>3287.49</v>
      </c>
      <c r="E1022">
        <v>2</v>
      </c>
      <c r="F1022">
        <v>0</v>
      </c>
      <c r="G1022" t="s">
        <v>14</v>
      </c>
      <c r="H1022" t="s">
        <v>21</v>
      </c>
      <c r="I1022" t="s">
        <v>16</v>
      </c>
      <c r="J1022" s="2">
        <f>Table1_1[[#This Row],[Sales]]-Table1_1[[#This Row],[Sales]]*Table1_1[[#This Row],[Discount]]</f>
        <v>3287.49</v>
      </c>
      <c r="K1022" s="1">
        <v>44983</v>
      </c>
      <c r="L1022" s="11">
        <v>44985</v>
      </c>
      <c r="M1022">
        <f>DATEDIF(Table1_1[[#This Row],[Order Date]],Table1_1[[#This Row],[Ship Date]],"D")</f>
        <v>2</v>
      </c>
    </row>
    <row r="1023" spans="1:13" x14ac:dyDescent="0.35">
      <c r="A1023" t="s">
        <v>1427</v>
      </c>
      <c r="B1023" t="s">
        <v>778</v>
      </c>
      <c r="C1023" t="s">
        <v>278</v>
      </c>
      <c r="D1023" s="2">
        <v>532.53</v>
      </c>
      <c r="E1023">
        <v>9</v>
      </c>
      <c r="F1023">
        <v>0</v>
      </c>
      <c r="G1023" t="s">
        <v>19</v>
      </c>
      <c r="H1023" t="s">
        <v>21</v>
      </c>
      <c r="I1023" t="s">
        <v>16</v>
      </c>
      <c r="J1023" s="2">
        <f>Table1_1[[#This Row],[Sales]]-Table1_1[[#This Row],[Sales]]*Table1_1[[#This Row],[Discount]]</f>
        <v>532.53</v>
      </c>
      <c r="K1023" s="1">
        <v>45191</v>
      </c>
      <c r="L1023" s="11">
        <v>45192</v>
      </c>
      <c r="M1023">
        <f>DATEDIF(Table1_1[[#This Row],[Order Date]],Table1_1[[#This Row],[Ship Date]],"D")</f>
        <v>1</v>
      </c>
    </row>
    <row r="1024" spans="1:13" x14ac:dyDescent="0.35">
      <c r="A1024" t="s">
        <v>1428</v>
      </c>
      <c r="B1024" t="s">
        <v>76</v>
      </c>
      <c r="C1024" t="s">
        <v>595</v>
      </c>
      <c r="D1024" s="2">
        <v>4993.62</v>
      </c>
      <c r="E1024">
        <v>4</v>
      </c>
      <c r="F1024">
        <v>0.2</v>
      </c>
      <c r="G1024" t="s">
        <v>14</v>
      </c>
      <c r="H1024" t="s">
        <v>15</v>
      </c>
      <c r="I1024" t="s">
        <v>20</v>
      </c>
      <c r="J1024" s="2">
        <f>Table1_1[[#This Row],[Sales]]-Table1_1[[#This Row],[Sales]]*Table1_1[[#This Row],[Discount]]</f>
        <v>3994.8959999999997</v>
      </c>
      <c r="K1024" s="1">
        <v>45341</v>
      </c>
      <c r="L1024" s="11">
        <v>45344</v>
      </c>
      <c r="M1024">
        <f>DATEDIF(Table1_1[[#This Row],[Order Date]],Table1_1[[#This Row],[Ship Date]],"D")</f>
        <v>3</v>
      </c>
    </row>
    <row r="1025" spans="1:13" x14ac:dyDescent="0.35">
      <c r="A1025" t="s">
        <v>1429</v>
      </c>
      <c r="B1025" t="s">
        <v>145</v>
      </c>
      <c r="C1025" t="s">
        <v>211</v>
      </c>
      <c r="D1025" s="2">
        <v>4152.32</v>
      </c>
      <c r="E1025">
        <v>9</v>
      </c>
      <c r="F1025">
        <v>0.3</v>
      </c>
      <c r="G1025" t="s">
        <v>14</v>
      </c>
      <c r="H1025" t="s">
        <v>15</v>
      </c>
      <c r="I1025" t="s">
        <v>20</v>
      </c>
      <c r="J1025" s="2">
        <f>Table1_1[[#This Row],[Sales]]-Table1_1[[#This Row],[Sales]]*Table1_1[[#This Row],[Discount]]</f>
        <v>2906.6239999999998</v>
      </c>
      <c r="K1025" s="1">
        <v>45684</v>
      </c>
      <c r="L1025" s="11">
        <v>45687</v>
      </c>
      <c r="M1025">
        <f>DATEDIF(Table1_1[[#This Row],[Order Date]],Table1_1[[#This Row],[Ship Date]],"D")</f>
        <v>3</v>
      </c>
    </row>
    <row r="1026" spans="1:13" x14ac:dyDescent="0.35">
      <c r="A1026" t="s">
        <v>1430</v>
      </c>
      <c r="B1026" t="s">
        <v>196</v>
      </c>
      <c r="C1026" t="s">
        <v>146</v>
      </c>
      <c r="D1026" s="2">
        <v>1856.97</v>
      </c>
      <c r="E1026">
        <v>9</v>
      </c>
      <c r="F1026">
        <v>0.2</v>
      </c>
      <c r="G1026" t="s">
        <v>14</v>
      </c>
      <c r="H1026" t="s">
        <v>15</v>
      </c>
      <c r="I1026" t="s">
        <v>16</v>
      </c>
      <c r="J1026" s="2">
        <f>Table1_1[[#This Row],[Sales]]-Table1_1[[#This Row],[Sales]]*Table1_1[[#This Row],[Discount]]</f>
        <v>1485.576</v>
      </c>
      <c r="K1026" s="1">
        <v>45453</v>
      </c>
      <c r="L1026" s="11">
        <v>45455</v>
      </c>
      <c r="M1026">
        <f>DATEDIF(Table1_1[[#This Row],[Order Date]],Table1_1[[#This Row],[Ship Date]],"D")</f>
        <v>2</v>
      </c>
    </row>
    <row r="1027" spans="1:13" x14ac:dyDescent="0.35">
      <c r="A1027" t="s">
        <v>1431</v>
      </c>
      <c r="B1027" t="s">
        <v>326</v>
      </c>
      <c r="C1027" t="s">
        <v>197</v>
      </c>
      <c r="D1027" s="2">
        <v>225.44</v>
      </c>
      <c r="E1027">
        <v>9</v>
      </c>
      <c r="F1027">
        <v>0.3</v>
      </c>
      <c r="G1027" t="s">
        <v>39</v>
      </c>
      <c r="H1027" t="s">
        <v>15</v>
      </c>
      <c r="I1027" t="s">
        <v>20</v>
      </c>
      <c r="J1027" s="2">
        <f>Table1_1[[#This Row],[Sales]]-Table1_1[[#This Row],[Sales]]*Table1_1[[#This Row],[Discount]]</f>
        <v>157.80799999999999</v>
      </c>
      <c r="K1027" s="1">
        <v>45142</v>
      </c>
      <c r="L1027" s="11">
        <v>45149</v>
      </c>
      <c r="M1027">
        <f>DATEDIF(Table1_1[[#This Row],[Order Date]],Table1_1[[#This Row],[Ship Date]],"D")</f>
        <v>7</v>
      </c>
    </row>
    <row r="1028" spans="1:13" x14ac:dyDescent="0.35">
      <c r="A1028" t="s">
        <v>1432</v>
      </c>
      <c r="B1028" t="s">
        <v>162</v>
      </c>
      <c r="C1028" t="s">
        <v>268</v>
      </c>
      <c r="D1028" s="2">
        <v>1883.86</v>
      </c>
      <c r="E1028">
        <v>2</v>
      </c>
      <c r="F1028">
        <v>0.1</v>
      </c>
      <c r="G1028" t="s">
        <v>14</v>
      </c>
      <c r="H1028" t="s">
        <v>15</v>
      </c>
      <c r="I1028" t="s">
        <v>43</v>
      </c>
      <c r="J1028" s="2">
        <f>Table1_1[[#This Row],[Sales]]-Table1_1[[#This Row],[Sales]]*Table1_1[[#This Row],[Discount]]</f>
        <v>1695.4739999999999</v>
      </c>
      <c r="K1028" s="1">
        <v>45639</v>
      </c>
      <c r="L1028" s="11">
        <v>45645</v>
      </c>
      <c r="M1028">
        <f>DATEDIF(Table1_1[[#This Row],[Order Date]],Table1_1[[#This Row],[Ship Date]],"D")</f>
        <v>6</v>
      </c>
    </row>
    <row r="1029" spans="1:13" x14ac:dyDescent="0.35">
      <c r="A1029" t="s">
        <v>1433</v>
      </c>
      <c r="B1029" t="s">
        <v>1434</v>
      </c>
      <c r="C1029" t="s">
        <v>178</v>
      </c>
      <c r="D1029" s="2">
        <v>2058.64</v>
      </c>
      <c r="E1029">
        <v>5</v>
      </c>
      <c r="F1029">
        <v>0</v>
      </c>
      <c r="G1029" t="s">
        <v>19</v>
      </c>
      <c r="H1029" t="s">
        <v>15</v>
      </c>
      <c r="I1029" t="s">
        <v>16</v>
      </c>
      <c r="J1029" s="2">
        <f>Table1_1[[#This Row],[Sales]]-Table1_1[[#This Row],[Sales]]*Table1_1[[#This Row],[Discount]]</f>
        <v>2058.64</v>
      </c>
      <c r="K1029" s="1">
        <v>45207</v>
      </c>
      <c r="L1029" s="11">
        <v>45210</v>
      </c>
      <c r="M1029">
        <f>DATEDIF(Table1_1[[#This Row],[Order Date]],Table1_1[[#This Row],[Ship Date]],"D")</f>
        <v>3</v>
      </c>
    </row>
    <row r="1030" spans="1:13" x14ac:dyDescent="0.35">
      <c r="A1030" t="s">
        <v>1435</v>
      </c>
      <c r="B1030" t="s">
        <v>213</v>
      </c>
      <c r="C1030" t="s">
        <v>73</v>
      </c>
      <c r="D1030" s="2">
        <v>2461.14</v>
      </c>
      <c r="E1030">
        <v>1</v>
      </c>
      <c r="F1030">
        <v>0.1</v>
      </c>
      <c r="G1030" t="s">
        <v>14</v>
      </c>
      <c r="H1030" t="s">
        <v>21</v>
      </c>
      <c r="I1030" t="s">
        <v>43</v>
      </c>
      <c r="J1030" s="2">
        <f>Table1_1[[#This Row],[Sales]]-Table1_1[[#This Row],[Sales]]*Table1_1[[#This Row],[Discount]]</f>
        <v>2215.0259999999998</v>
      </c>
      <c r="K1030" s="1">
        <v>45007</v>
      </c>
      <c r="L1030" s="11">
        <v>45011</v>
      </c>
      <c r="M1030">
        <f>DATEDIF(Table1_1[[#This Row],[Order Date]],Table1_1[[#This Row],[Ship Date]],"D")</f>
        <v>4</v>
      </c>
    </row>
    <row r="1031" spans="1:13" x14ac:dyDescent="0.35">
      <c r="A1031" t="s">
        <v>1436</v>
      </c>
      <c r="B1031" t="s">
        <v>127</v>
      </c>
      <c r="C1031" t="s">
        <v>135</v>
      </c>
      <c r="D1031" s="2">
        <v>260.99</v>
      </c>
      <c r="E1031">
        <v>2</v>
      </c>
      <c r="F1031">
        <v>0.2</v>
      </c>
      <c r="G1031" t="s">
        <v>14</v>
      </c>
      <c r="H1031" t="s">
        <v>21</v>
      </c>
      <c r="I1031" t="s">
        <v>43</v>
      </c>
      <c r="J1031" s="2">
        <f>Table1_1[[#This Row],[Sales]]-Table1_1[[#This Row],[Sales]]*Table1_1[[#This Row],[Discount]]</f>
        <v>208.792</v>
      </c>
      <c r="K1031" s="1">
        <v>45576</v>
      </c>
      <c r="L1031" s="11">
        <v>45578</v>
      </c>
      <c r="M1031">
        <f>DATEDIF(Table1_1[[#This Row],[Order Date]],Table1_1[[#This Row],[Ship Date]],"D")</f>
        <v>2</v>
      </c>
    </row>
    <row r="1032" spans="1:13" x14ac:dyDescent="0.35">
      <c r="A1032" t="s">
        <v>1437</v>
      </c>
      <c r="B1032" t="s">
        <v>530</v>
      </c>
      <c r="C1032" t="s">
        <v>94</v>
      </c>
      <c r="D1032" s="2">
        <v>3847.85</v>
      </c>
      <c r="E1032">
        <v>5</v>
      </c>
      <c r="F1032">
        <v>0.2</v>
      </c>
      <c r="G1032" t="s">
        <v>14</v>
      </c>
      <c r="H1032" t="s">
        <v>21</v>
      </c>
      <c r="I1032" t="s">
        <v>43</v>
      </c>
      <c r="J1032" s="2">
        <f>Table1_1[[#This Row],[Sales]]-Table1_1[[#This Row],[Sales]]*Table1_1[[#This Row],[Discount]]</f>
        <v>3078.2799999999997</v>
      </c>
      <c r="K1032" s="1">
        <v>44986</v>
      </c>
      <c r="L1032" s="11">
        <v>44993</v>
      </c>
      <c r="M1032">
        <f>DATEDIF(Table1_1[[#This Row],[Order Date]],Table1_1[[#This Row],[Ship Date]],"D")</f>
        <v>7</v>
      </c>
    </row>
    <row r="1033" spans="1:13" x14ac:dyDescent="0.35">
      <c r="A1033" t="s">
        <v>1438</v>
      </c>
      <c r="B1033" t="s">
        <v>420</v>
      </c>
      <c r="C1033" t="s">
        <v>157</v>
      </c>
      <c r="D1033" s="2">
        <v>445.48</v>
      </c>
      <c r="E1033">
        <v>1</v>
      </c>
      <c r="F1033">
        <v>0.1</v>
      </c>
      <c r="G1033" t="s">
        <v>14</v>
      </c>
      <c r="H1033" t="s">
        <v>15</v>
      </c>
      <c r="I1033" t="s">
        <v>43</v>
      </c>
      <c r="J1033" s="2">
        <f>Table1_1[[#This Row],[Sales]]-Table1_1[[#This Row],[Sales]]*Table1_1[[#This Row],[Discount]]</f>
        <v>400.93200000000002</v>
      </c>
      <c r="K1033" s="1">
        <v>45232</v>
      </c>
      <c r="L1033" s="11">
        <v>45234</v>
      </c>
      <c r="M1033">
        <f>DATEDIF(Table1_1[[#This Row],[Order Date]],Table1_1[[#This Row],[Ship Date]],"D")</f>
        <v>2</v>
      </c>
    </row>
    <row r="1034" spans="1:13" x14ac:dyDescent="0.35">
      <c r="A1034" t="s">
        <v>1439</v>
      </c>
      <c r="B1034" t="s">
        <v>12</v>
      </c>
      <c r="C1034" t="s">
        <v>336</v>
      </c>
      <c r="D1034" s="2">
        <v>764.02</v>
      </c>
      <c r="E1034">
        <v>6</v>
      </c>
      <c r="F1034">
        <v>0.3</v>
      </c>
      <c r="G1034" t="s">
        <v>39</v>
      </c>
      <c r="H1034" t="s">
        <v>15</v>
      </c>
      <c r="I1034" t="s">
        <v>16</v>
      </c>
      <c r="J1034" s="2">
        <f>Table1_1[[#This Row],[Sales]]-Table1_1[[#This Row],[Sales]]*Table1_1[[#This Row],[Discount]]</f>
        <v>534.81399999999996</v>
      </c>
      <c r="K1034" s="1">
        <v>45255</v>
      </c>
      <c r="L1034" s="11">
        <v>45258</v>
      </c>
      <c r="M1034">
        <f>DATEDIF(Table1_1[[#This Row],[Order Date]],Table1_1[[#This Row],[Ship Date]],"D")</f>
        <v>3</v>
      </c>
    </row>
    <row r="1035" spans="1:13" x14ac:dyDescent="0.35">
      <c r="A1035" t="s">
        <v>1440</v>
      </c>
      <c r="B1035" t="s">
        <v>1434</v>
      </c>
      <c r="C1035" t="s">
        <v>310</v>
      </c>
      <c r="D1035" s="2">
        <v>1680.96</v>
      </c>
      <c r="E1035">
        <v>4</v>
      </c>
      <c r="F1035">
        <v>0.1</v>
      </c>
      <c r="G1035" t="s">
        <v>19</v>
      </c>
      <c r="H1035" t="s">
        <v>21</v>
      </c>
      <c r="I1035" t="s">
        <v>20</v>
      </c>
      <c r="J1035" s="2">
        <f>Table1_1[[#This Row],[Sales]]-Table1_1[[#This Row],[Sales]]*Table1_1[[#This Row],[Discount]]</f>
        <v>1512.864</v>
      </c>
      <c r="K1035" s="1">
        <v>45619</v>
      </c>
      <c r="L1035" s="11">
        <v>45624</v>
      </c>
      <c r="M1035">
        <f>DATEDIF(Table1_1[[#This Row],[Order Date]],Table1_1[[#This Row],[Ship Date]],"D")</f>
        <v>5</v>
      </c>
    </row>
    <row r="1036" spans="1:13" x14ac:dyDescent="0.35">
      <c r="A1036" t="s">
        <v>1441</v>
      </c>
      <c r="B1036" t="s">
        <v>59</v>
      </c>
      <c r="C1036" t="s">
        <v>77</v>
      </c>
      <c r="D1036" s="2">
        <v>180.98</v>
      </c>
      <c r="E1036">
        <v>3</v>
      </c>
      <c r="F1036">
        <v>0.1</v>
      </c>
      <c r="G1036" t="s">
        <v>14</v>
      </c>
      <c r="H1036" t="s">
        <v>21</v>
      </c>
      <c r="I1036" t="s">
        <v>16</v>
      </c>
      <c r="J1036" s="2">
        <f>Table1_1[[#This Row],[Sales]]-Table1_1[[#This Row],[Sales]]*Table1_1[[#This Row],[Discount]]</f>
        <v>162.88200000000001</v>
      </c>
      <c r="K1036" s="1">
        <v>45122</v>
      </c>
      <c r="L1036" s="11">
        <v>45129</v>
      </c>
      <c r="M1036">
        <f>DATEDIF(Table1_1[[#This Row],[Order Date]],Table1_1[[#This Row],[Ship Date]],"D")</f>
        <v>7</v>
      </c>
    </row>
    <row r="1037" spans="1:13" x14ac:dyDescent="0.35">
      <c r="A1037" t="s">
        <v>1442</v>
      </c>
      <c r="B1037" t="s">
        <v>522</v>
      </c>
      <c r="C1037" t="s">
        <v>146</v>
      </c>
      <c r="D1037" s="2">
        <v>1345.81</v>
      </c>
      <c r="E1037">
        <v>4</v>
      </c>
      <c r="F1037">
        <v>0.2</v>
      </c>
      <c r="G1037" t="s">
        <v>39</v>
      </c>
      <c r="H1037" t="s">
        <v>21</v>
      </c>
      <c r="I1037" t="s">
        <v>43</v>
      </c>
      <c r="J1037" s="2">
        <f>Table1_1[[#This Row],[Sales]]-Table1_1[[#This Row],[Sales]]*Table1_1[[#This Row],[Discount]]</f>
        <v>1076.6479999999999</v>
      </c>
      <c r="K1037" s="1">
        <v>45245</v>
      </c>
      <c r="L1037" s="11">
        <v>45250</v>
      </c>
      <c r="M1037">
        <f>DATEDIF(Table1_1[[#This Row],[Order Date]],Table1_1[[#This Row],[Ship Date]],"D")</f>
        <v>5</v>
      </c>
    </row>
    <row r="1038" spans="1:13" x14ac:dyDescent="0.35">
      <c r="A1038" t="s">
        <v>1443</v>
      </c>
      <c r="B1038" t="s">
        <v>242</v>
      </c>
      <c r="C1038" t="s">
        <v>565</v>
      </c>
      <c r="D1038" s="2">
        <v>3535.29</v>
      </c>
      <c r="E1038">
        <v>9</v>
      </c>
      <c r="F1038">
        <v>0.3</v>
      </c>
      <c r="G1038" t="s">
        <v>39</v>
      </c>
      <c r="H1038" t="s">
        <v>21</v>
      </c>
      <c r="I1038" t="s">
        <v>16</v>
      </c>
      <c r="J1038" s="2">
        <f>Table1_1[[#This Row],[Sales]]-Table1_1[[#This Row],[Sales]]*Table1_1[[#This Row],[Discount]]</f>
        <v>2474.703</v>
      </c>
      <c r="K1038" s="1">
        <v>45552</v>
      </c>
      <c r="L1038" s="11">
        <v>45559</v>
      </c>
      <c r="M1038">
        <f>DATEDIF(Table1_1[[#This Row],[Order Date]],Table1_1[[#This Row],[Ship Date]],"D")</f>
        <v>7</v>
      </c>
    </row>
    <row r="1039" spans="1:13" x14ac:dyDescent="0.35">
      <c r="A1039" t="s">
        <v>1444</v>
      </c>
      <c r="B1039" t="s">
        <v>520</v>
      </c>
      <c r="C1039" t="s">
        <v>293</v>
      </c>
      <c r="D1039" s="2">
        <v>2636.13</v>
      </c>
      <c r="E1039">
        <v>10</v>
      </c>
      <c r="F1039">
        <v>0.1</v>
      </c>
      <c r="G1039" t="s">
        <v>19</v>
      </c>
      <c r="H1039" t="s">
        <v>21</v>
      </c>
      <c r="I1039" t="s">
        <v>43</v>
      </c>
      <c r="J1039" s="2">
        <f>Table1_1[[#This Row],[Sales]]-Table1_1[[#This Row],[Sales]]*Table1_1[[#This Row],[Discount]]</f>
        <v>2372.5170000000003</v>
      </c>
      <c r="K1039" s="1">
        <v>45081</v>
      </c>
      <c r="L1039" s="11">
        <v>45087</v>
      </c>
      <c r="M1039">
        <f>DATEDIF(Table1_1[[#This Row],[Order Date]],Table1_1[[#This Row],[Ship Date]],"D")</f>
        <v>6</v>
      </c>
    </row>
    <row r="1040" spans="1:13" x14ac:dyDescent="0.35">
      <c r="A1040" t="s">
        <v>1445</v>
      </c>
      <c r="B1040" t="s">
        <v>528</v>
      </c>
      <c r="C1040" t="s">
        <v>911</v>
      </c>
      <c r="D1040" s="2">
        <v>1080.6400000000001</v>
      </c>
      <c r="E1040">
        <v>3</v>
      </c>
      <c r="F1040">
        <v>0.3</v>
      </c>
      <c r="G1040" t="s">
        <v>39</v>
      </c>
      <c r="H1040" t="s">
        <v>21</v>
      </c>
      <c r="I1040" t="s">
        <v>16</v>
      </c>
      <c r="J1040" s="2">
        <f>Table1_1[[#This Row],[Sales]]-Table1_1[[#This Row],[Sales]]*Table1_1[[#This Row],[Discount]]</f>
        <v>756.44800000000009</v>
      </c>
      <c r="K1040" s="1">
        <v>45443</v>
      </c>
      <c r="L1040" s="11">
        <v>45449</v>
      </c>
      <c r="M1040">
        <f>DATEDIF(Table1_1[[#This Row],[Order Date]],Table1_1[[#This Row],[Ship Date]],"D")</f>
        <v>6</v>
      </c>
    </row>
    <row r="1041" spans="1:13" x14ac:dyDescent="0.35">
      <c r="A1041" t="s">
        <v>1446</v>
      </c>
      <c r="B1041" t="s">
        <v>277</v>
      </c>
      <c r="C1041" t="s">
        <v>143</v>
      </c>
      <c r="D1041" s="2">
        <v>2449.56</v>
      </c>
      <c r="E1041">
        <v>6</v>
      </c>
      <c r="F1041">
        <v>0</v>
      </c>
      <c r="G1041" t="s">
        <v>19</v>
      </c>
      <c r="H1041" t="s">
        <v>21</v>
      </c>
      <c r="I1041" t="s">
        <v>43</v>
      </c>
      <c r="J1041" s="2">
        <f>Table1_1[[#This Row],[Sales]]-Table1_1[[#This Row],[Sales]]*Table1_1[[#This Row],[Discount]]</f>
        <v>2449.56</v>
      </c>
      <c r="K1041" s="1">
        <v>45326</v>
      </c>
      <c r="L1041" s="11">
        <v>45329</v>
      </c>
      <c r="M1041">
        <f>DATEDIF(Table1_1[[#This Row],[Order Date]],Table1_1[[#This Row],[Ship Date]],"D")</f>
        <v>3</v>
      </c>
    </row>
    <row r="1042" spans="1:13" x14ac:dyDescent="0.35">
      <c r="A1042" t="s">
        <v>1447</v>
      </c>
      <c r="B1042" t="s">
        <v>396</v>
      </c>
      <c r="C1042" t="s">
        <v>357</v>
      </c>
      <c r="D1042" s="2">
        <v>1800.13</v>
      </c>
      <c r="E1042">
        <v>5</v>
      </c>
      <c r="F1042">
        <v>0</v>
      </c>
      <c r="G1042" t="s">
        <v>39</v>
      </c>
      <c r="H1042" t="s">
        <v>21</v>
      </c>
      <c r="I1042" t="s">
        <v>16</v>
      </c>
      <c r="J1042" s="2">
        <f>Table1_1[[#This Row],[Sales]]-Table1_1[[#This Row],[Sales]]*Table1_1[[#This Row],[Discount]]</f>
        <v>1800.13</v>
      </c>
      <c r="K1042" s="1">
        <v>45548</v>
      </c>
      <c r="L1042" s="11">
        <v>45550</v>
      </c>
      <c r="M1042">
        <f>DATEDIF(Table1_1[[#This Row],[Order Date]],Table1_1[[#This Row],[Ship Date]],"D")</f>
        <v>2</v>
      </c>
    </row>
    <row r="1043" spans="1:13" x14ac:dyDescent="0.35">
      <c r="A1043" t="s">
        <v>1448</v>
      </c>
      <c r="B1043" t="s">
        <v>335</v>
      </c>
      <c r="C1043" t="s">
        <v>265</v>
      </c>
      <c r="D1043" s="2">
        <v>3741.7</v>
      </c>
      <c r="E1043">
        <v>9</v>
      </c>
      <c r="F1043">
        <v>0</v>
      </c>
      <c r="G1043" t="s">
        <v>14</v>
      </c>
      <c r="H1043" t="s">
        <v>21</v>
      </c>
      <c r="I1043" t="s">
        <v>43</v>
      </c>
      <c r="J1043" s="2">
        <f>Table1_1[[#This Row],[Sales]]-Table1_1[[#This Row],[Sales]]*Table1_1[[#This Row],[Discount]]</f>
        <v>3741.7</v>
      </c>
      <c r="K1043" s="1">
        <v>45802</v>
      </c>
      <c r="L1043" s="11">
        <v>45804</v>
      </c>
      <c r="M1043">
        <f>DATEDIF(Table1_1[[#This Row],[Order Date]],Table1_1[[#This Row],[Ship Date]],"D")</f>
        <v>2</v>
      </c>
    </row>
    <row r="1044" spans="1:13" x14ac:dyDescent="0.35">
      <c r="A1044" t="s">
        <v>1449</v>
      </c>
      <c r="B1044" t="s">
        <v>1166</v>
      </c>
      <c r="C1044" t="s">
        <v>62</v>
      </c>
      <c r="D1044" s="2">
        <v>2706.49</v>
      </c>
      <c r="E1044">
        <v>3</v>
      </c>
      <c r="F1044">
        <v>0.3</v>
      </c>
      <c r="G1044" t="s">
        <v>39</v>
      </c>
      <c r="H1044" t="s">
        <v>21</v>
      </c>
      <c r="I1044" t="s">
        <v>20</v>
      </c>
      <c r="J1044" s="2">
        <f>Table1_1[[#This Row],[Sales]]-Table1_1[[#This Row],[Sales]]*Table1_1[[#This Row],[Discount]]</f>
        <v>1894.5429999999999</v>
      </c>
      <c r="K1044" s="1">
        <v>45331</v>
      </c>
      <c r="L1044" s="11">
        <v>45332</v>
      </c>
      <c r="M1044">
        <f>DATEDIF(Table1_1[[#This Row],[Order Date]],Table1_1[[#This Row],[Ship Date]],"D")</f>
        <v>1</v>
      </c>
    </row>
    <row r="1045" spans="1:13" x14ac:dyDescent="0.35">
      <c r="A1045" t="s">
        <v>1450</v>
      </c>
      <c r="B1045" t="s">
        <v>866</v>
      </c>
      <c r="C1045" t="s">
        <v>229</v>
      </c>
      <c r="D1045" s="2">
        <v>3849.92</v>
      </c>
      <c r="E1045">
        <v>7</v>
      </c>
      <c r="F1045">
        <v>0.2</v>
      </c>
      <c r="G1045" t="s">
        <v>39</v>
      </c>
      <c r="H1045" t="s">
        <v>21</v>
      </c>
      <c r="I1045" t="s">
        <v>20</v>
      </c>
      <c r="J1045" s="2">
        <f>Table1_1[[#This Row],[Sales]]-Table1_1[[#This Row],[Sales]]*Table1_1[[#This Row],[Discount]]</f>
        <v>3079.9360000000001</v>
      </c>
      <c r="K1045" s="1">
        <v>44994</v>
      </c>
      <c r="L1045" s="11">
        <v>45001</v>
      </c>
      <c r="M1045">
        <f>DATEDIF(Table1_1[[#This Row],[Order Date]],Table1_1[[#This Row],[Ship Date]],"D")</f>
        <v>7</v>
      </c>
    </row>
    <row r="1046" spans="1:13" x14ac:dyDescent="0.35">
      <c r="A1046" t="s">
        <v>1451</v>
      </c>
      <c r="B1046" t="s">
        <v>284</v>
      </c>
      <c r="C1046" t="s">
        <v>211</v>
      </c>
      <c r="D1046" s="2">
        <v>566.44000000000005</v>
      </c>
      <c r="E1046">
        <v>3</v>
      </c>
      <c r="F1046">
        <v>0.1</v>
      </c>
      <c r="G1046" t="s">
        <v>14</v>
      </c>
      <c r="H1046" t="s">
        <v>15</v>
      </c>
      <c r="I1046" t="s">
        <v>43</v>
      </c>
      <c r="J1046" s="2">
        <f>Table1_1[[#This Row],[Sales]]-Table1_1[[#This Row],[Sales]]*Table1_1[[#This Row],[Discount]]</f>
        <v>509.79600000000005</v>
      </c>
      <c r="K1046" s="1">
        <v>45603</v>
      </c>
      <c r="L1046" s="11">
        <v>45607</v>
      </c>
      <c r="M1046">
        <f>DATEDIF(Table1_1[[#This Row],[Order Date]],Table1_1[[#This Row],[Ship Date]],"D")</f>
        <v>4</v>
      </c>
    </row>
    <row r="1047" spans="1:13" x14ac:dyDescent="0.35">
      <c r="A1047" t="s">
        <v>1452</v>
      </c>
      <c r="B1047" t="s">
        <v>1069</v>
      </c>
      <c r="C1047" t="s">
        <v>265</v>
      </c>
      <c r="D1047" s="2">
        <v>4224.12</v>
      </c>
      <c r="E1047">
        <v>6</v>
      </c>
      <c r="F1047">
        <v>0</v>
      </c>
      <c r="G1047" t="s">
        <v>19</v>
      </c>
      <c r="H1047" t="s">
        <v>21</v>
      </c>
      <c r="I1047" t="s">
        <v>20</v>
      </c>
      <c r="J1047" s="2">
        <f>Table1_1[[#This Row],[Sales]]-Table1_1[[#This Row],[Sales]]*Table1_1[[#This Row],[Discount]]</f>
        <v>4224.12</v>
      </c>
      <c r="K1047" s="1">
        <v>45292</v>
      </c>
      <c r="L1047" s="11">
        <v>45293</v>
      </c>
      <c r="M1047">
        <f>DATEDIF(Table1_1[[#This Row],[Order Date]],Table1_1[[#This Row],[Ship Date]],"D")</f>
        <v>1</v>
      </c>
    </row>
    <row r="1048" spans="1:13" x14ac:dyDescent="0.35">
      <c r="A1048" t="s">
        <v>1453</v>
      </c>
      <c r="B1048" t="s">
        <v>387</v>
      </c>
      <c r="C1048" t="s">
        <v>293</v>
      </c>
      <c r="D1048" s="2">
        <v>3977.43</v>
      </c>
      <c r="E1048">
        <v>2</v>
      </c>
      <c r="F1048">
        <v>0.2</v>
      </c>
      <c r="G1048" t="s">
        <v>14</v>
      </c>
      <c r="H1048" t="s">
        <v>15</v>
      </c>
      <c r="I1048" t="s">
        <v>20</v>
      </c>
      <c r="J1048" s="2">
        <f>Table1_1[[#This Row],[Sales]]-Table1_1[[#This Row],[Sales]]*Table1_1[[#This Row],[Discount]]</f>
        <v>3181.944</v>
      </c>
      <c r="K1048" s="1">
        <v>45050</v>
      </c>
      <c r="L1048" s="11">
        <v>45053</v>
      </c>
      <c r="M1048">
        <f>DATEDIF(Table1_1[[#This Row],[Order Date]],Table1_1[[#This Row],[Ship Date]],"D")</f>
        <v>3</v>
      </c>
    </row>
    <row r="1049" spans="1:13" x14ac:dyDescent="0.35">
      <c r="A1049" t="s">
        <v>1454</v>
      </c>
      <c r="B1049" t="s">
        <v>1042</v>
      </c>
      <c r="C1049" t="s">
        <v>128</v>
      </c>
      <c r="D1049" s="2">
        <v>3786.01</v>
      </c>
      <c r="E1049">
        <v>9</v>
      </c>
      <c r="F1049">
        <v>0</v>
      </c>
      <c r="G1049" t="s">
        <v>39</v>
      </c>
      <c r="H1049" t="s">
        <v>21</v>
      </c>
      <c r="I1049" t="s">
        <v>43</v>
      </c>
      <c r="J1049" s="2">
        <f>Table1_1[[#This Row],[Sales]]-Table1_1[[#This Row],[Sales]]*Table1_1[[#This Row],[Discount]]</f>
        <v>3786.01</v>
      </c>
      <c r="K1049" s="1">
        <v>45184</v>
      </c>
      <c r="L1049" s="11">
        <v>45189</v>
      </c>
      <c r="M1049">
        <f>DATEDIF(Table1_1[[#This Row],[Order Date]],Table1_1[[#This Row],[Ship Date]],"D")</f>
        <v>5</v>
      </c>
    </row>
    <row r="1050" spans="1:13" x14ac:dyDescent="0.35">
      <c r="A1050" t="s">
        <v>1455</v>
      </c>
      <c r="B1050" t="s">
        <v>1042</v>
      </c>
      <c r="C1050" t="s">
        <v>318</v>
      </c>
      <c r="D1050" s="2">
        <v>387.48</v>
      </c>
      <c r="E1050">
        <v>4</v>
      </c>
      <c r="F1050">
        <v>0.2</v>
      </c>
      <c r="G1050" t="s">
        <v>39</v>
      </c>
      <c r="H1050" t="s">
        <v>21</v>
      </c>
      <c r="I1050" t="s">
        <v>43</v>
      </c>
      <c r="J1050" s="2">
        <f>Table1_1[[#This Row],[Sales]]-Table1_1[[#This Row],[Sales]]*Table1_1[[#This Row],[Discount]]</f>
        <v>309.98400000000004</v>
      </c>
      <c r="K1050" s="1">
        <v>45348</v>
      </c>
      <c r="L1050" s="11">
        <v>45352</v>
      </c>
      <c r="M1050">
        <f>DATEDIF(Table1_1[[#This Row],[Order Date]],Table1_1[[#This Row],[Ship Date]],"D")</f>
        <v>4</v>
      </c>
    </row>
    <row r="1051" spans="1:13" x14ac:dyDescent="0.35">
      <c r="A1051" t="s">
        <v>1456</v>
      </c>
      <c r="B1051" t="s">
        <v>657</v>
      </c>
      <c r="C1051" t="s">
        <v>265</v>
      </c>
      <c r="D1051" s="2">
        <v>3045.35</v>
      </c>
      <c r="E1051">
        <v>7</v>
      </c>
      <c r="F1051">
        <v>0.1</v>
      </c>
      <c r="G1051" t="s">
        <v>19</v>
      </c>
      <c r="H1051" t="s">
        <v>21</v>
      </c>
      <c r="I1051" t="s">
        <v>20</v>
      </c>
      <c r="J1051" s="2">
        <f>Table1_1[[#This Row],[Sales]]-Table1_1[[#This Row],[Sales]]*Table1_1[[#This Row],[Discount]]</f>
        <v>2740.8150000000001</v>
      </c>
      <c r="K1051" s="1">
        <v>45433</v>
      </c>
      <c r="L1051" s="11">
        <v>45437</v>
      </c>
      <c r="M1051">
        <f>DATEDIF(Table1_1[[#This Row],[Order Date]],Table1_1[[#This Row],[Ship Date]],"D")</f>
        <v>4</v>
      </c>
    </row>
    <row r="1052" spans="1:13" x14ac:dyDescent="0.35">
      <c r="A1052" t="s">
        <v>1457</v>
      </c>
      <c r="B1052" t="s">
        <v>983</v>
      </c>
      <c r="C1052" t="s">
        <v>251</v>
      </c>
      <c r="D1052" s="2">
        <v>4684.6099999999997</v>
      </c>
      <c r="E1052">
        <v>2</v>
      </c>
      <c r="F1052">
        <v>0</v>
      </c>
      <c r="G1052" t="s">
        <v>14</v>
      </c>
      <c r="H1052" t="s">
        <v>21</v>
      </c>
      <c r="I1052" t="s">
        <v>20</v>
      </c>
      <c r="J1052" s="2">
        <f>Table1_1[[#This Row],[Sales]]-Table1_1[[#This Row],[Sales]]*Table1_1[[#This Row],[Discount]]</f>
        <v>4684.6099999999997</v>
      </c>
      <c r="K1052" s="1">
        <v>45648</v>
      </c>
      <c r="L1052" s="11">
        <v>45652</v>
      </c>
      <c r="M1052">
        <f>DATEDIF(Table1_1[[#This Row],[Order Date]],Table1_1[[#This Row],[Ship Date]],"D")</f>
        <v>4</v>
      </c>
    </row>
    <row r="1053" spans="1:13" x14ac:dyDescent="0.35">
      <c r="A1053" t="s">
        <v>1458</v>
      </c>
      <c r="B1053" t="s">
        <v>394</v>
      </c>
      <c r="C1053" t="s">
        <v>696</v>
      </c>
      <c r="D1053" s="2">
        <v>305.91000000000003</v>
      </c>
      <c r="E1053">
        <v>2</v>
      </c>
      <c r="F1053">
        <v>0.1</v>
      </c>
      <c r="G1053" t="s">
        <v>19</v>
      </c>
      <c r="H1053" t="s">
        <v>21</v>
      </c>
      <c r="I1053" t="s">
        <v>16</v>
      </c>
      <c r="J1053" s="2">
        <f>Table1_1[[#This Row],[Sales]]-Table1_1[[#This Row],[Sales]]*Table1_1[[#This Row],[Discount]]</f>
        <v>275.31900000000002</v>
      </c>
      <c r="K1053" s="1">
        <v>45059</v>
      </c>
      <c r="L1053" s="11">
        <v>45061</v>
      </c>
      <c r="M1053">
        <f>DATEDIF(Table1_1[[#This Row],[Order Date]],Table1_1[[#This Row],[Ship Date]],"D")</f>
        <v>2</v>
      </c>
    </row>
    <row r="1054" spans="1:13" x14ac:dyDescent="0.35">
      <c r="A1054" t="s">
        <v>1459</v>
      </c>
      <c r="B1054" t="s">
        <v>1460</v>
      </c>
      <c r="C1054" t="s">
        <v>146</v>
      </c>
      <c r="D1054" s="2">
        <v>4813.74</v>
      </c>
      <c r="E1054">
        <v>5</v>
      </c>
      <c r="F1054">
        <v>0.3</v>
      </c>
      <c r="G1054" t="s">
        <v>14</v>
      </c>
      <c r="H1054" t="s">
        <v>21</v>
      </c>
      <c r="I1054" t="s">
        <v>16</v>
      </c>
      <c r="J1054" s="2">
        <f>Table1_1[[#This Row],[Sales]]-Table1_1[[#This Row],[Sales]]*Table1_1[[#This Row],[Discount]]</f>
        <v>3369.6179999999999</v>
      </c>
      <c r="K1054" s="1">
        <v>45654</v>
      </c>
      <c r="L1054" s="11">
        <v>45655</v>
      </c>
      <c r="M1054">
        <f>DATEDIF(Table1_1[[#This Row],[Order Date]],Table1_1[[#This Row],[Ship Date]],"D")</f>
        <v>1</v>
      </c>
    </row>
    <row r="1055" spans="1:13" x14ac:dyDescent="0.35">
      <c r="A1055" t="s">
        <v>1461</v>
      </c>
      <c r="B1055" t="s">
        <v>371</v>
      </c>
      <c r="C1055" t="s">
        <v>143</v>
      </c>
      <c r="D1055" s="2">
        <v>2943.53</v>
      </c>
      <c r="E1055">
        <v>6</v>
      </c>
      <c r="F1055">
        <v>0.3</v>
      </c>
      <c r="G1055" t="s">
        <v>14</v>
      </c>
      <c r="H1055" t="s">
        <v>15</v>
      </c>
      <c r="I1055" t="s">
        <v>16</v>
      </c>
      <c r="J1055" s="2">
        <f>Table1_1[[#This Row],[Sales]]-Table1_1[[#This Row],[Sales]]*Table1_1[[#This Row],[Discount]]</f>
        <v>2060.471</v>
      </c>
      <c r="K1055" s="1">
        <v>45568</v>
      </c>
      <c r="L1055" s="11">
        <v>45572</v>
      </c>
      <c r="M1055">
        <f>DATEDIF(Table1_1[[#This Row],[Order Date]],Table1_1[[#This Row],[Ship Date]],"D")</f>
        <v>4</v>
      </c>
    </row>
    <row r="1056" spans="1:13" x14ac:dyDescent="0.35">
      <c r="A1056" t="s">
        <v>1462</v>
      </c>
      <c r="B1056" t="s">
        <v>351</v>
      </c>
      <c r="C1056" t="s">
        <v>82</v>
      </c>
      <c r="D1056" s="2">
        <v>443.26</v>
      </c>
      <c r="E1056">
        <v>9</v>
      </c>
      <c r="F1056">
        <v>0.1</v>
      </c>
      <c r="G1056" t="s">
        <v>39</v>
      </c>
      <c r="H1056" t="s">
        <v>15</v>
      </c>
      <c r="I1056" t="s">
        <v>43</v>
      </c>
      <c r="J1056" s="2">
        <f>Table1_1[[#This Row],[Sales]]-Table1_1[[#This Row],[Sales]]*Table1_1[[#This Row],[Discount]]</f>
        <v>398.93399999999997</v>
      </c>
      <c r="K1056" s="1">
        <v>45486</v>
      </c>
      <c r="L1056" s="11">
        <v>45491</v>
      </c>
      <c r="M1056">
        <f>DATEDIF(Table1_1[[#This Row],[Order Date]],Table1_1[[#This Row],[Ship Date]],"D")</f>
        <v>5</v>
      </c>
    </row>
    <row r="1057" spans="1:13" x14ac:dyDescent="0.35">
      <c r="A1057" t="s">
        <v>1463</v>
      </c>
      <c r="B1057" t="s">
        <v>1248</v>
      </c>
      <c r="C1057" t="s">
        <v>68</v>
      </c>
      <c r="D1057" s="2">
        <v>2032.29</v>
      </c>
      <c r="E1057">
        <v>3</v>
      </c>
      <c r="F1057">
        <v>0.1</v>
      </c>
      <c r="G1057" t="s">
        <v>14</v>
      </c>
      <c r="H1057" t="s">
        <v>21</v>
      </c>
      <c r="I1057" t="s">
        <v>43</v>
      </c>
      <c r="J1057" s="2">
        <f>Table1_1[[#This Row],[Sales]]-Table1_1[[#This Row],[Sales]]*Table1_1[[#This Row],[Discount]]</f>
        <v>1829.0609999999999</v>
      </c>
      <c r="K1057" s="1">
        <v>45210</v>
      </c>
      <c r="L1057" s="11">
        <v>45215</v>
      </c>
      <c r="M1057">
        <f>DATEDIF(Table1_1[[#This Row],[Order Date]],Table1_1[[#This Row],[Ship Date]],"D")</f>
        <v>5</v>
      </c>
    </row>
    <row r="1058" spans="1:13" x14ac:dyDescent="0.35">
      <c r="A1058" t="s">
        <v>1464</v>
      </c>
      <c r="B1058" t="s">
        <v>1057</v>
      </c>
      <c r="C1058" t="s">
        <v>246</v>
      </c>
      <c r="D1058" s="2">
        <v>4304.63</v>
      </c>
      <c r="E1058">
        <v>3</v>
      </c>
      <c r="F1058">
        <v>0.1</v>
      </c>
      <c r="G1058" t="s">
        <v>14</v>
      </c>
      <c r="H1058" t="s">
        <v>21</v>
      </c>
      <c r="I1058" t="s">
        <v>43</v>
      </c>
      <c r="J1058" s="2">
        <f>Table1_1[[#This Row],[Sales]]-Table1_1[[#This Row],[Sales]]*Table1_1[[#This Row],[Discount]]</f>
        <v>3874.1669999999999</v>
      </c>
      <c r="K1058" s="1">
        <v>45248</v>
      </c>
      <c r="L1058" s="11">
        <v>45252</v>
      </c>
      <c r="M1058">
        <f>DATEDIF(Table1_1[[#This Row],[Order Date]],Table1_1[[#This Row],[Ship Date]],"D")</f>
        <v>4</v>
      </c>
    </row>
    <row r="1059" spans="1:13" x14ac:dyDescent="0.35">
      <c r="A1059" t="s">
        <v>1465</v>
      </c>
      <c r="B1059" t="s">
        <v>253</v>
      </c>
      <c r="C1059" t="s">
        <v>220</v>
      </c>
      <c r="D1059" s="2">
        <v>2938.47</v>
      </c>
      <c r="E1059">
        <v>5</v>
      </c>
      <c r="F1059">
        <v>0.3</v>
      </c>
      <c r="G1059" t="s">
        <v>14</v>
      </c>
      <c r="H1059" t="s">
        <v>15</v>
      </c>
      <c r="I1059" t="s">
        <v>43</v>
      </c>
      <c r="J1059" s="2">
        <f>Table1_1[[#This Row],[Sales]]-Table1_1[[#This Row],[Sales]]*Table1_1[[#This Row],[Discount]]</f>
        <v>2056.9290000000001</v>
      </c>
      <c r="K1059" s="1">
        <v>45395</v>
      </c>
      <c r="L1059" s="11">
        <v>45398</v>
      </c>
      <c r="M1059">
        <f>DATEDIF(Table1_1[[#This Row],[Order Date]],Table1_1[[#This Row],[Ship Date]],"D")</f>
        <v>3</v>
      </c>
    </row>
    <row r="1060" spans="1:13" x14ac:dyDescent="0.35">
      <c r="A1060" t="s">
        <v>1466</v>
      </c>
      <c r="B1060" t="s">
        <v>618</v>
      </c>
      <c r="C1060" t="s">
        <v>160</v>
      </c>
      <c r="D1060" s="2">
        <v>726.39</v>
      </c>
      <c r="E1060">
        <v>1</v>
      </c>
      <c r="F1060">
        <v>0.1</v>
      </c>
      <c r="G1060" t="s">
        <v>14</v>
      </c>
      <c r="H1060" t="s">
        <v>21</v>
      </c>
      <c r="I1060" t="s">
        <v>16</v>
      </c>
      <c r="J1060" s="2">
        <f>Table1_1[[#This Row],[Sales]]-Table1_1[[#This Row],[Sales]]*Table1_1[[#This Row],[Discount]]</f>
        <v>653.75099999999998</v>
      </c>
      <c r="K1060" s="1">
        <v>45742</v>
      </c>
      <c r="L1060" s="11">
        <v>45747</v>
      </c>
      <c r="M1060">
        <f>DATEDIF(Table1_1[[#This Row],[Order Date]],Table1_1[[#This Row],[Ship Date]],"D")</f>
        <v>5</v>
      </c>
    </row>
    <row r="1061" spans="1:13" x14ac:dyDescent="0.35">
      <c r="A1061" t="s">
        <v>1467</v>
      </c>
      <c r="B1061" t="s">
        <v>38</v>
      </c>
      <c r="C1061" t="s">
        <v>204</v>
      </c>
      <c r="D1061" s="2">
        <v>2389.9899999999998</v>
      </c>
      <c r="E1061">
        <v>2</v>
      </c>
      <c r="F1061">
        <v>0.3</v>
      </c>
      <c r="G1061" t="s">
        <v>19</v>
      </c>
      <c r="H1061" t="s">
        <v>21</v>
      </c>
      <c r="I1061" t="s">
        <v>20</v>
      </c>
      <c r="J1061" s="2">
        <f>Table1_1[[#This Row],[Sales]]-Table1_1[[#This Row],[Sales]]*Table1_1[[#This Row],[Discount]]</f>
        <v>1672.9929999999999</v>
      </c>
      <c r="K1061" s="1">
        <v>45760</v>
      </c>
      <c r="L1061" s="11">
        <v>45764</v>
      </c>
      <c r="M1061">
        <f>DATEDIF(Table1_1[[#This Row],[Order Date]],Table1_1[[#This Row],[Ship Date]],"D")</f>
        <v>4</v>
      </c>
    </row>
    <row r="1062" spans="1:13" x14ac:dyDescent="0.35">
      <c r="A1062" t="s">
        <v>1468</v>
      </c>
      <c r="B1062" t="s">
        <v>36</v>
      </c>
      <c r="C1062" t="s">
        <v>163</v>
      </c>
      <c r="D1062" s="2">
        <v>4277.8500000000004</v>
      </c>
      <c r="E1062">
        <v>2</v>
      </c>
      <c r="F1062">
        <v>0.2</v>
      </c>
      <c r="G1062" t="s">
        <v>14</v>
      </c>
      <c r="H1062" t="s">
        <v>15</v>
      </c>
      <c r="I1062" t="s">
        <v>16</v>
      </c>
      <c r="J1062" s="2">
        <f>Table1_1[[#This Row],[Sales]]-Table1_1[[#This Row],[Sales]]*Table1_1[[#This Row],[Discount]]</f>
        <v>3422.28</v>
      </c>
      <c r="K1062" s="1">
        <v>45759</v>
      </c>
      <c r="L1062" s="11">
        <v>45760</v>
      </c>
      <c r="M1062">
        <f>DATEDIF(Table1_1[[#This Row],[Order Date]],Table1_1[[#This Row],[Ship Date]],"D")</f>
        <v>1</v>
      </c>
    </row>
    <row r="1063" spans="1:13" x14ac:dyDescent="0.35">
      <c r="A1063" t="s">
        <v>1469</v>
      </c>
      <c r="B1063" t="s">
        <v>189</v>
      </c>
      <c r="C1063" t="s">
        <v>911</v>
      </c>
      <c r="D1063" s="2">
        <v>985.72</v>
      </c>
      <c r="E1063">
        <v>6</v>
      </c>
      <c r="F1063">
        <v>0.1</v>
      </c>
      <c r="G1063" t="s">
        <v>14</v>
      </c>
      <c r="H1063" t="s">
        <v>15</v>
      </c>
      <c r="I1063" t="s">
        <v>20</v>
      </c>
      <c r="J1063" s="2">
        <f>Table1_1[[#This Row],[Sales]]-Table1_1[[#This Row],[Sales]]*Table1_1[[#This Row],[Discount]]</f>
        <v>887.14800000000002</v>
      </c>
      <c r="K1063" s="1">
        <v>45197</v>
      </c>
      <c r="L1063" s="11">
        <v>45201</v>
      </c>
      <c r="M1063">
        <f>DATEDIF(Table1_1[[#This Row],[Order Date]],Table1_1[[#This Row],[Ship Date]],"D")</f>
        <v>4</v>
      </c>
    </row>
    <row r="1064" spans="1:13" x14ac:dyDescent="0.35">
      <c r="A1064" t="s">
        <v>1470</v>
      </c>
      <c r="B1064" t="s">
        <v>532</v>
      </c>
      <c r="C1064" t="s">
        <v>259</v>
      </c>
      <c r="D1064" s="2">
        <v>4307.01</v>
      </c>
      <c r="E1064">
        <v>8</v>
      </c>
      <c r="F1064">
        <v>0.1</v>
      </c>
      <c r="G1064" t="s">
        <v>39</v>
      </c>
      <c r="H1064" t="s">
        <v>15</v>
      </c>
      <c r="I1064" t="s">
        <v>16</v>
      </c>
      <c r="J1064" s="2">
        <f>Table1_1[[#This Row],[Sales]]-Table1_1[[#This Row],[Sales]]*Table1_1[[#This Row],[Discount]]</f>
        <v>3876.3090000000002</v>
      </c>
      <c r="K1064" s="1">
        <v>45477</v>
      </c>
      <c r="L1064" s="11">
        <v>45484</v>
      </c>
      <c r="M1064">
        <f>DATEDIF(Table1_1[[#This Row],[Order Date]],Table1_1[[#This Row],[Ship Date]],"D")</f>
        <v>7</v>
      </c>
    </row>
    <row r="1065" spans="1:13" x14ac:dyDescent="0.35">
      <c r="A1065" t="s">
        <v>1471</v>
      </c>
      <c r="B1065" t="s">
        <v>1034</v>
      </c>
      <c r="C1065" t="s">
        <v>223</v>
      </c>
      <c r="D1065" s="2">
        <v>1464.81</v>
      </c>
      <c r="E1065">
        <v>2</v>
      </c>
      <c r="F1065">
        <v>0.1</v>
      </c>
      <c r="G1065" t="s">
        <v>14</v>
      </c>
      <c r="H1065" t="s">
        <v>15</v>
      </c>
      <c r="I1065" t="s">
        <v>20</v>
      </c>
      <c r="J1065" s="2">
        <f>Table1_1[[#This Row],[Sales]]-Table1_1[[#This Row],[Sales]]*Table1_1[[#This Row],[Discount]]</f>
        <v>1318.329</v>
      </c>
      <c r="K1065" s="1">
        <v>45389</v>
      </c>
      <c r="L1065" s="11">
        <v>45393</v>
      </c>
      <c r="M1065">
        <f>DATEDIF(Table1_1[[#This Row],[Order Date]],Table1_1[[#This Row],[Ship Date]],"D")</f>
        <v>4</v>
      </c>
    </row>
    <row r="1066" spans="1:13" x14ac:dyDescent="0.35">
      <c r="A1066" t="s">
        <v>1472</v>
      </c>
      <c r="B1066" t="s">
        <v>462</v>
      </c>
      <c r="C1066" t="s">
        <v>214</v>
      </c>
      <c r="D1066" s="2">
        <v>3641.17</v>
      </c>
      <c r="E1066">
        <v>8</v>
      </c>
      <c r="F1066">
        <v>0.3</v>
      </c>
      <c r="G1066" t="s">
        <v>14</v>
      </c>
      <c r="H1066" t="s">
        <v>15</v>
      </c>
      <c r="I1066" t="s">
        <v>20</v>
      </c>
      <c r="J1066" s="2">
        <f>Table1_1[[#This Row],[Sales]]-Table1_1[[#This Row],[Sales]]*Table1_1[[#This Row],[Discount]]</f>
        <v>2548.8190000000004</v>
      </c>
      <c r="K1066" s="1">
        <v>45595</v>
      </c>
      <c r="L1066" s="11">
        <v>45599</v>
      </c>
      <c r="M1066">
        <f>DATEDIF(Table1_1[[#This Row],[Order Date]],Table1_1[[#This Row],[Ship Date]],"D")</f>
        <v>4</v>
      </c>
    </row>
    <row r="1067" spans="1:13" x14ac:dyDescent="0.35">
      <c r="A1067" t="s">
        <v>1473</v>
      </c>
      <c r="B1067" t="s">
        <v>782</v>
      </c>
      <c r="C1067" t="s">
        <v>726</v>
      </c>
      <c r="D1067" s="2">
        <v>165.77</v>
      </c>
      <c r="E1067">
        <v>7</v>
      </c>
      <c r="F1067">
        <v>0.2</v>
      </c>
      <c r="G1067" t="s">
        <v>14</v>
      </c>
      <c r="H1067" t="s">
        <v>21</v>
      </c>
      <c r="I1067" t="s">
        <v>20</v>
      </c>
      <c r="J1067" s="2">
        <f>Table1_1[[#This Row],[Sales]]-Table1_1[[#This Row],[Sales]]*Table1_1[[#This Row],[Discount]]</f>
        <v>132.61600000000001</v>
      </c>
      <c r="K1067" s="1">
        <v>45381</v>
      </c>
      <c r="L1067" s="11">
        <v>45383</v>
      </c>
      <c r="M1067">
        <f>DATEDIF(Table1_1[[#This Row],[Order Date]],Table1_1[[#This Row],[Ship Date]],"D")</f>
        <v>2</v>
      </c>
    </row>
    <row r="1068" spans="1:13" x14ac:dyDescent="0.35">
      <c r="A1068" t="s">
        <v>1474</v>
      </c>
      <c r="B1068" t="s">
        <v>303</v>
      </c>
      <c r="C1068" t="s">
        <v>194</v>
      </c>
      <c r="D1068" s="2">
        <v>574.48</v>
      </c>
      <c r="E1068">
        <v>8</v>
      </c>
      <c r="F1068">
        <v>0.3</v>
      </c>
      <c r="G1068" t="s">
        <v>14</v>
      </c>
      <c r="H1068" t="s">
        <v>21</v>
      </c>
      <c r="I1068" t="s">
        <v>43</v>
      </c>
      <c r="J1068" s="2">
        <f>Table1_1[[#This Row],[Sales]]-Table1_1[[#This Row],[Sales]]*Table1_1[[#This Row],[Discount]]</f>
        <v>402.13600000000002</v>
      </c>
      <c r="K1068" s="1">
        <v>44967</v>
      </c>
      <c r="L1068" s="11">
        <v>44974</v>
      </c>
      <c r="M1068">
        <f>DATEDIF(Table1_1[[#This Row],[Order Date]],Table1_1[[#This Row],[Ship Date]],"D")</f>
        <v>7</v>
      </c>
    </row>
    <row r="1069" spans="1:13" x14ac:dyDescent="0.35">
      <c r="A1069" t="s">
        <v>1475</v>
      </c>
      <c r="B1069" t="s">
        <v>424</v>
      </c>
      <c r="C1069" t="s">
        <v>265</v>
      </c>
      <c r="D1069" s="2">
        <v>4651.47</v>
      </c>
      <c r="E1069">
        <v>2</v>
      </c>
      <c r="F1069">
        <v>0.3</v>
      </c>
      <c r="G1069" t="s">
        <v>14</v>
      </c>
      <c r="H1069" t="s">
        <v>21</v>
      </c>
      <c r="I1069" t="s">
        <v>16</v>
      </c>
      <c r="J1069" s="2">
        <f>Table1_1[[#This Row],[Sales]]-Table1_1[[#This Row],[Sales]]*Table1_1[[#This Row],[Discount]]</f>
        <v>3256.0290000000005</v>
      </c>
      <c r="K1069" s="1">
        <v>45094</v>
      </c>
      <c r="L1069" s="11">
        <v>45095</v>
      </c>
      <c r="M1069">
        <f>DATEDIF(Table1_1[[#This Row],[Order Date]],Table1_1[[#This Row],[Ship Date]],"D")</f>
        <v>1</v>
      </c>
    </row>
    <row r="1070" spans="1:13" x14ac:dyDescent="0.35">
      <c r="A1070" t="s">
        <v>1476</v>
      </c>
      <c r="B1070" t="s">
        <v>306</v>
      </c>
      <c r="C1070" t="s">
        <v>77</v>
      </c>
      <c r="D1070" s="2">
        <v>1129.26</v>
      </c>
      <c r="E1070">
        <v>7</v>
      </c>
      <c r="F1070">
        <v>0</v>
      </c>
      <c r="G1070" t="s">
        <v>19</v>
      </c>
      <c r="H1070" t="s">
        <v>15</v>
      </c>
      <c r="I1070" t="s">
        <v>16</v>
      </c>
      <c r="J1070" s="2">
        <f>Table1_1[[#This Row],[Sales]]-Table1_1[[#This Row],[Sales]]*Table1_1[[#This Row],[Discount]]</f>
        <v>1129.26</v>
      </c>
      <c r="K1070" s="1">
        <v>44994</v>
      </c>
      <c r="L1070" s="11">
        <v>45001</v>
      </c>
      <c r="M1070">
        <f>DATEDIF(Table1_1[[#This Row],[Order Date]],Table1_1[[#This Row],[Ship Date]],"D")</f>
        <v>7</v>
      </c>
    </row>
    <row r="1071" spans="1:13" x14ac:dyDescent="0.35">
      <c r="A1071" t="s">
        <v>1477</v>
      </c>
      <c r="B1071" t="s">
        <v>193</v>
      </c>
      <c r="C1071" t="s">
        <v>166</v>
      </c>
      <c r="D1071" s="2">
        <v>3083.38</v>
      </c>
      <c r="E1071">
        <v>6</v>
      </c>
      <c r="F1071">
        <v>0.1</v>
      </c>
      <c r="G1071" t="s">
        <v>14</v>
      </c>
      <c r="H1071" t="s">
        <v>21</v>
      </c>
      <c r="I1071" t="s">
        <v>20</v>
      </c>
      <c r="J1071" s="2">
        <f>Table1_1[[#This Row],[Sales]]-Table1_1[[#This Row],[Sales]]*Table1_1[[#This Row],[Discount]]</f>
        <v>2775.0419999999999</v>
      </c>
      <c r="K1071" s="1">
        <v>45330</v>
      </c>
      <c r="L1071" s="11">
        <v>45335</v>
      </c>
      <c r="M1071">
        <f>DATEDIF(Table1_1[[#This Row],[Order Date]],Table1_1[[#This Row],[Ship Date]],"D")</f>
        <v>5</v>
      </c>
    </row>
    <row r="1072" spans="1:13" x14ac:dyDescent="0.35">
      <c r="A1072" t="s">
        <v>1478</v>
      </c>
      <c r="B1072" t="s">
        <v>822</v>
      </c>
      <c r="C1072" t="s">
        <v>376</v>
      </c>
      <c r="D1072" s="2">
        <v>2346.1799999999998</v>
      </c>
      <c r="E1072">
        <v>3</v>
      </c>
      <c r="F1072">
        <v>0</v>
      </c>
      <c r="G1072" t="s">
        <v>39</v>
      </c>
      <c r="H1072" t="s">
        <v>21</v>
      </c>
      <c r="I1072" t="s">
        <v>16</v>
      </c>
      <c r="J1072" s="2">
        <f>Table1_1[[#This Row],[Sales]]-Table1_1[[#This Row],[Sales]]*Table1_1[[#This Row],[Discount]]</f>
        <v>2346.1799999999998</v>
      </c>
      <c r="K1072" s="1">
        <v>45636</v>
      </c>
      <c r="L1072" s="11">
        <v>45641</v>
      </c>
      <c r="M1072">
        <f>DATEDIF(Table1_1[[#This Row],[Order Date]],Table1_1[[#This Row],[Ship Date]],"D")</f>
        <v>5</v>
      </c>
    </row>
    <row r="1073" spans="1:13" x14ac:dyDescent="0.35">
      <c r="A1073" t="s">
        <v>1479</v>
      </c>
      <c r="B1073" t="s">
        <v>1054</v>
      </c>
      <c r="C1073" t="s">
        <v>226</v>
      </c>
      <c r="D1073" s="2">
        <v>3146.14</v>
      </c>
      <c r="E1073">
        <v>5</v>
      </c>
      <c r="F1073">
        <v>0.2</v>
      </c>
      <c r="G1073" t="s">
        <v>14</v>
      </c>
      <c r="H1073" t="s">
        <v>15</v>
      </c>
      <c r="I1073" t="s">
        <v>43</v>
      </c>
      <c r="J1073" s="2">
        <f>Table1_1[[#This Row],[Sales]]-Table1_1[[#This Row],[Sales]]*Table1_1[[#This Row],[Discount]]</f>
        <v>2516.9119999999998</v>
      </c>
      <c r="K1073" s="1">
        <v>44983</v>
      </c>
      <c r="L1073" s="11">
        <v>44988</v>
      </c>
      <c r="M1073">
        <f>DATEDIF(Table1_1[[#This Row],[Order Date]],Table1_1[[#This Row],[Ship Date]],"D")</f>
        <v>5</v>
      </c>
    </row>
    <row r="1074" spans="1:13" x14ac:dyDescent="0.35">
      <c r="A1074" t="s">
        <v>1480</v>
      </c>
      <c r="B1074" t="s">
        <v>469</v>
      </c>
      <c r="C1074" t="s">
        <v>268</v>
      </c>
      <c r="D1074" s="2">
        <v>4181.13</v>
      </c>
      <c r="E1074">
        <v>4</v>
      </c>
      <c r="F1074">
        <v>0.3</v>
      </c>
      <c r="G1074" t="s">
        <v>39</v>
      </c>
      <c r="H1074" t="s">
        <v>15</v>
      </c>
      <c r="I1074" t="s">
        <v>16</v>
      </c>
      <c r="J1074" s="2">
        <f>Table1_1[[#This Row],[Sales]]-Table1_1[[#This Row],[Sales]]*Table1_1[[#This Row],[Discount]]</f>
        <v>2926.7910000000002</v>
      </c>
      <c r="K1074" s="1">
        <v>45639</v>
      </c>
      <c r="L1074" s="11">
        <v>45641</v>
      </c>
      <c r="M1074">
        <f>DATEDIF(Table1_1[[#This Row],[Order Date]],Table1_1[[#This Row],[Ship Date]],"D")</f>
        <v>2</v>
      </c>
    </row>
    <row r="1075" spans="1:13" x14ac:dyDescent="0.35">
      <c r="A1075" t="s">
        <v>1481</v>
      </c>
      <c r="B1075" t="s">
        <v>616</v>
      </c>
      <c r="C1075" t="s">
        <v>57</v>
      </c>
      <c r="D1075" s="2">
        <v>4810.1000000000004</v>
      </c>
      <c r="E1075">
        <v>6</v>
      </c>
      <c r="F1075">
        <v>0.2</v>
      </c>
      <c r="G1075" t="s">
        <v>19</v>
      </c>
      <c r="H1075" t="s">
        <v>15</v>
      </c>
      <c r="I1075" t="s">
        <v>20</v>
      </c>
      <c r="J1075" s="2">
        <f>Table1_1[[#This Row],[Sales]]-Table1_1[[#This Row],[Sales]]*Table1_1[[#This Row],[Discount]]</f>
        <v>3848.0800000000004</v>
      </c>
      <c r="K1075" s="1">
        <v>44973</v>
      </c>
      <c r="L1075" s="11">
        <v>44980</v>
      </c>
      <c r="M1075">
        <f>DATEDIF(Table1_1[[#This Row],[Order Date]],Table1_1[[#This Row],[Ship Date]],"D")</f>
        <v>7</v>
      </c>
    </row>
    <row r="1076" spans="1:13" x14ac:dyDescent="0.35">
      <c r="A1076" t="s">
        <v>1482</v>
      </c>
      <c r="B1076" t="s">
        <v>84</v>
      </c>
      <c r="C1076" t="s">
        <v>511</v>
      </c>
      <c r="D1076" s="2">
        <v>2959.83</v>
      </c>
      <c r="E1076">
        <v>2</v>
      </c>
      <c r="F1076">
        <v>0.2</v>
      </c>
      <c r="G1076" t="s">
        <v>19</v>
      </c>
      <c r="H1076" t="s">
        <v>15</v>
      </c>
      <c r="I1076" t="s">
        <v>43</v>
      </c>
      <c r="J1076" s="2">
        <f>Table1_1[[#This Row],[Sales]]-Table1_1[[#This Row],[Sales]]*Table1_1[[#This Row],[Discount]]</f>
        <v>2367.864</v>
      </c>
      <c r="K1076" s="1">
        <v>45210</v>
      </c>
      <c r="L1076" s="11">
        <v>45214</v>
      </c>
      <c r="M1076">
        <f>DATEDIF(Table1_1[[#This Row],[Order Date]],Table1_1[[#This Row],[Ship Date]],"D")</f>
        <v>4</v>
      </c>
    </row>
    <row r="1077" spans="1:13" x14ac:dyDescent="0.35">
      <c r="A1077" t="s">
        <v>1483</v>
      </c>
      <c r="B1077" t="s">
        <v>498</v>
      </c>
      <c r="C1077" t="s">
        <v>118</v>
      </c>
      <c r="D1077" s="2">
        <v>4934.8</v>
      </c>
      <c r="E1077">
        <v>5</v>
      </c>
      <c r="F1077">
        <v>0</v>
      </c>
      <c r="G1077" t="s">
        <v>14</v>
      </c>
      <c r="H1077" t="s">
        <v>15</v>
      </c>
      <c r="I1077" t="s">
        <v>16</v>
      </c>
      <c r="J1077" s="2">
        <f>Table1_1[[#This Row],[Sales]]-Table1_1[[#This Row],[Sales]]*Table1_1[[#This Row],[Discount]]</f>
        <v>4934.8</v>
      </c>
      <c r="K1077" s="1">
        <v>45707</v>
      </c>
      <c r="L1077" s="11">
        <v>45708</v>
      </c>
      <c r="M1077">
        <f>DATEDIF(Table1_1[[#This Row],[Order Date]],Table1_1[[#This Row],[Ship Date]],"D")</f>
        <v>1</v>
      </c>
    </row>
    <row r="1078" spans="1:13" x14ac:dyDescent="0.35">
      <c r="A1078" t="s">
        <v>1484</v>
      </c>
      <c r="B1078" t="s">
        <v>387</v>
      </c>
      <c r="C1078" t="s">
        <v>99</v>
      </c>
      <c r="D1078" s="2">
        <v>4015.93</v>
      </c>
      <c r="E1078">
        <v>4</v>
      </c>
      <c r="F1078">
        <v>0.1</v>
      </c>
      <c r="G1078" t="s">
        <v>39</v>
      </c>
      <c r="H1078" t="s">
        <v>21</v>
      </c>
      <c r="I1078" t="s">
        <v>20</v>
      </c>
      <c r="J1078" s="2">
        <f>Table1_1[[#This Row],[Sales]]-Table1_1[[#This Row],[Sales]]*Table1_1[[#This Row],[Discount]]</f>
        <v>3614.337</v>
      </c>
      <c r="K1078" s="1">
        <v>44953</v>
      </c>
      <c r="L1078" s="11">
        <v>44958</v>
      </c>
      <c r="M1078">
        <f>DATEDIF(Table1_1[[#This Row],[Order Date]],Table1_1[[#This Row],[Ship Date]],"D")</f>
        <v>5</v>
      </c>
    </row>
    <row r="1079" spans="1:13" x14ac:dyDescent="0.35">
      <c r="A1079" t="s">
        <v>1485</v>
      </c>
      <c r="B1079" t="s">
        <v>599</v>
      </c>
      <c r="C1079" t="s">
        <v>259</v>
      </c>
      <c r="D1079" s="2">
        <v>1903.79</v>
      </c>
      <c r="E1079">
        <v>4</v>
      </c>
      <c r="F1079">
        <v>0.2</v>
      </c>
      <c r="G1079" t="s">
        <v>19</v>
      </c>
      <c r="H1079" t="s">
        <v>21</v>
      </c>
      <c r="I1079" t="s">
        <v>16</v>
      </c>
      <c r="J1079" s="2">
        <f>Table1_1[[#This Row],[Sales]]-Table1_1[[#This Row],[Sales]]*Table1_1[[#This Row],[Discount]]</f>
        <v>1523.0319999999999</v>
      </c>
      <c r="K1079" s="1">
        <v>45684</v>
      </c>
      <c r="L1079" s="11">
        <v>45690</v>
      </c>
      <c r="M1079">
        <f>DATEDIF(Table1_1[[#This Row],[Order Date]],Table1_1[[#This Row],[Ship Date]],"D")</f>
        <v>6</v>
      </c>
    </row>
    <row r="1080" spans="1:13" x14ac:dyDescent="0.35">
      <c r="A1080" t="s">
        <v>1486</v>
      </c>
      <c r="B1080" t="s">
        <v>983</v>
      </c>
      <c r="C1080" t="s">
        <v>91</v>
      </c>
      <c r="D1080" s="2">
        <v>1596.19</v>
      </c>
      <c r="E1080">
        <v>5</v>
      </c>
      <c r="F1080">
        <v>0.2</v>
      </c>
      <c r="G1080" t="s">
        <v>39</v>
      </c>
      <c r="H1080" t="s">
        <v>15</v>
      </c>
      <c r="I1080" t="s">
        <v>43</v>
      </c>
      <c r="J1080" s="2">
        <f>Table1_1[[#This Row],[Sales]]-Table1_1[[#This Row],[Sales]]*Table1_1[[#This Row],[Discount]]</f>
        <v>1276.952</v>
      </c>
      <c r="K1080" s="1">
        <v>45385</v>
      </c>
      <c r="L1080" s="11">
        <v>45389</v>
      </c>
      <c r="M1080">
        <f>DATEDIF(Table1_1[[#This Row],[Order Date]],Table1_1[[#This Row],[Ship Date]],"D")</f>
        <v>4</v>
      </c>
    </row>
    <row r="1081" spans="1:13" x14ac:dyDescent="0.35">
      <c r="A1081" t="s">
        <v>1487</v>
      </c>
      <c r="B1081" t="s">
        <v>840</v>
      </c>
      <c r="C1081" t="s">
        <v>99</v>
      </c>
      <c r="D1081" s="2">
        <v>4810.3</v>
      </c>
      <c r="E1081">
        <v>8</v>
      </c>
      <c r="F1081">
        <v>0.1</v>
      </c>
      <c r="G1081" t="s">
        <v>39</v>
      </c>
      <c r="H1081" t="s">
        <v>21</v>
      </c>
      <c r="I1081" t="s">
        <v>20</v>
      </c>
      <c r="J1081" s="2">
        <f>Table1_1[[#This Row],[Sales]]-Table1_1[[#This Row],[Sales]]*Table1_1[[#This Row],[Discount]]</f>
        <v>4329.2700000000004</v>
      </c>
      <c r="K1081" s="1">
        <v>45141</v>
      </c>
      <c r="L1081" s="11">
        <v>45148</v>
      </c>
      <c r="M1081">
        <f>DATEDIF(Table1_1[[#This Row],[Order Date]],Table1_1[[#This Row],[Ship Date]],"D")</f>
        <v>7</v>
      </c>
    </row>
    <row r="1082" spans="1:13" x14ac:dyDescent="0.35">
      <c r="A1082" t="s">
        <v>1488</v>
      </c>
      <c r="B1082" t="s">
        <v>154</v>
      </c>
      <c r="C1082" t="s">
        <v>237</v>
      </c>
      <c r="D1082" s="2">
        <v>1089.3399999999999</v>
      </c>
      <c r="E1082">
        <v>10</v>
      </c>
      <c r="F1082">
        <v>0.2</v>
      </c>
      <c r="G1082" t="s">
        <v>19</v>
      </c>
      <c r="H1082" t="s">
        <v>15</v>
      </c>
      <c r="I1082" t="s">
        <v>16</v>
      </c>
      <c r="J1082" s="2">
        <f>Table1_1[[#This Row],[Sales]]-Table1_1[[#This Row],[Sales]]*Table1_1[[#This Row],[Discount]]</f>
        <v>871.47199999999998</v>
      </c>
      <c r="K1082" s="1">
        <v>45136</v>
      </c>
      <c r="L1082" s="11">
        <v>45143</v>
      </c>
      <c r="M1082">
        <f>DATEDIF(Table1_1[[#This Row],[Order Date]],Table1_1[[#This Row],[Ship Date]],"D")</f>
        <v>7</v>
      </c>
    </row>
    <row r="1083" spans="1:13" x14ac:dyDescent="0.35">
      <c r="A1083" t="s">
        <v>1489</v>
      </c>
      <c r="B1083" t="s">
        <v>171</v>
      </c>
      <c r="C1083" t="s">
        <v>329</v>
      </c>
      <c r="D1083" s="2">
        <v>3121.24</v>
      </c>
      <c r="E1083">
        <v>4</v>
      </c>
      <c r="F1083">
        <v>0.3</v>
      </c>
      <c r="G1083" t="s">
        <v>14</v>
      </c>
      <c r="H1083" t="s">
        <v>15</v>
      </c>
      <c r="I1083" t="s">
        <v>20</v>
      </c>
      <c r="J1083" s="2">
        <f>Table1_1[[#This Row],[Sales]]-Table1_1[[#This Row],[Sales]]*Table1_1[[#This Row],[Discount]]</f>
        <v>2184.8679999999999</v>
      </c>
      <c r="K1083" s="1">
        <v>45149</v>
      </c>
      <c r="L1083" s="11">
        <v>45156</v>
      </c>
      <c r="M1083">
        <f>DATEDIF(Table1_1[[#This Row],[Order Date]],Table1_1[[#This Row],[Ship Date]],"D")</f>
        <v>7</v>
      </c>
    </row>
    <row r="1084" spans="1:13" x14ac:dyDescent="0.35">
      <c r="A1084" t="s">
        <v>1490</v>
      </c>
      <c r="B1084" t="s">
        <v>1491</v>
      </c>
      <c r="C1084" t="s">
        <v>94</v>
      </c>
      <c r="D1084" s="2">
        <v>1264.97</v>
      </c>
      <c r="E1084">
        <v>8</v>
      </c>
      <c r="F1084">
        <v>0.1</v>
      </c>
      <c r="G1084" t="s">
        <v>39</v>
      </c>
      <c r="H1084" t="s">
        <v>21</v>
      </c>
      <c r="I1084" t="s">
        <v>20</v>
      </c>
      <c r="J1084" s="2">
        <f>Table1_1[[#This Row],[Sales]]-Table1_1[[#This Row],[Sales]]*Table1_1[[#This Row],[Discount]]</f>
        <v>1138.473</v>
      </c>
      <c r="K1084" s="1">
        <v>44950</v>
      </c>
      <c r="L1084" s="11">
        <v>44952</v>
      </c>
      <c r="M1084">
        <f>DATEDIF(Table1_1[[#This Row],[Order Date]],Table1_1[[#This Row],[Ship Date]],"D")</f>
        <v>2</v>
      </c>
    </row>
    <row r="1085" spans="1:13" x14ac:dyDescent="0.35">
      <c r="A1085" t="s">
        <v>1492</v>
      </c>
      <c r="B1085" t="s">
        <v>48</v>
      </c>
      <c r="C1085" t="s">
        <v>211</v>
      </c>
      <c r="D1085" s="2">
        <v>4309.07</v>
      </c>
      <c r="E1085">
        <v>4</v>
      </c>
      <c r="F1085">
        <v>0</v>
      </c>
      <c r="G1085" t="s">
        <v>39</v>
      </c>
      <c r="H1085" t="s">
        <v>21</v>
      </c>
      <c r="I1085" t="s">
        <v>43</v>
      </c>
      <c r="J1085" s="2">
        <f>Table1_1[[#This Row],[Sales]]-Table1_1[[#This Row],[Sales]]*Table1_1[[#This Row],[Discount]]</f>
        <v>4309.07</v>
      </c>
      <c r="K1085" s="1">
        <v>45175</v>
      </c>
      <c r="L1085" s="11">
        <v>45179</v>
      </c>
      <c r="M1085">
        <f>DATEDIF(Table1_1[[#This Row],[Order Date]],Table1_1[[#This Row],[Ship Date]],"D")</f>
        <v>4</v>
      </c>
    </row>
    <row r="1086" spans="1:13" x14ac:dyDescent="0.35">
      <c r="A1086" t="s">
        <v>1493</v>
      </c>
      <c r="B1086" t="s">
        <v>1112</v>
      </c>
      <c r="C1086" t="s">
        <v>293</v>
      </c>
      <c r="D1086" s="2">
        <v>529.91</v>
      </c>
      <c r="E1086">
        <v>7</v>
      </c>
      <c r="F1086">
        <v>0.3</v>
      </c>
      <c r="G1086" t="s">
        <v>14</v>
      </c>
      <c r="H1086" t="s">
        <v>15</v>
      </c>
      <c r="I1086" t="s">
        <v>20</v>
      </c>
      <c r="J1086" s="2">
        <f>Table1_1[[#This Row],[Sales]]-Table1_1[[#This Row],[Sales]]*Table1_1[[#This Row],[Discount]]</f>
        <v>370.93700000000001</v>
      </c>
      <c r="K1086" s="1">
        <v>45508</v>
      </c>
      <c r="L1086" s="11">
        <v>45513</v>
      </c>
      <c r="M1086">
        <f>DATEDIF(Table1_1[[#This Row],[Order Date]],Table1_1[[#This Row],[Ship Date]],"D")</f>
        <v>5</v>
      </c>
    </row>
    <row r="1087" spans="1:13" x14ac:dyDescent="0.35">
      <c r="A1087" t="s">
        <v>1494</v>
      </c>
      <c r="B1087" t="s">
        <v>616</v>
      </c>
      <c r="C1087" t="s">
        <v>354</v>
      </c>
      <c r="D1087" s="2">
        <v>2102.37</v>
      </c>
      <c r="E1087">
        <v>6</v>
      </c>
      <c r="F1087">
        <v>0</v>
      </c>
      <c r="G1087" t="s">
        <v>14</v>
      </c>
      <c r="H1087" t="s">
        <v>15</v>
      </c>
      <c r="I1087" t="s">
        <v>43</v>
      </c>
      <c r="J1087" s="2">
        <f>Table1_1[[#This Row],[Sales]]-Table1_1[[#This Row],[Sales]]*Table1_1[[#This Row],[Discount]]</f>
        <v>2102.37</v>
      </c>
      <c r="K1087" s="1">
        <v>45643</v>
      </c>
      <c r="L1087" s="11">
        <v>45648</v>
      </c>
      <c r="M1087">
        <f>DATEDIF(Table1_1[[#This Row],[Order Date]],Table1_1[[#This Row],[Ship Date]],"D")</f>
        <v>5</v>
      </c>
    </row>
    <row r="1088" spans="1:13" x14ac:dyDescent="0.35">
      <c r="A1088" t="s">
        <v>1495</v>
      </c>
      <c r="B1088" t="s">
        <v>778</v>
      </c>
      <c r="C1088" t="s">
        <v>511</v>
      </c>
      <c r="D1088" s="2">
        <v>1116.8900000000001</v>
      </c>
      <c r="E1088">
        <v>6</v>
      </c>
      <c r="F1088">
        <v>0</v>
      </c>
      <c r="G1088" t="s">
        <v>39</v>
      </c>
      <c r="H1088" t="s">
        <v>21</v>
      </c>
      <c r="I1088" t="s">
        <v>43</v>
      </c>
      <c r="J1088" s="2">
        <f>Table1_1[[#This Row],[Sales]]-Table1_1[[#This Row],[Sales]]*Table1_1[[#This Row],[Discount]]</f>
        <v>1116.8900000000001</v>
      </c>
      <c r="K1088" s="1">
        <v>45038</v>
      </c>
      <c r="L1088" s="11">
        <v>45040</v>
      </c>
      <c r="M1088">
        <f>DATEDIF(Table1_1[[#This Row],[Order Date]],Table1_1[[#This Row],[Ship Date]],"D")</f>
        <v>2</v>
      </c>
    </row>
    <row r="1089" spans="1:13" x14ac:dyDescent="0.35">
      <c r="A1089" t="s">
        <v>1496</v>
      </c>
      <c r="B1089" t="s">
        <v>156</v>
      </c>
      <c r="C1089" t="s">
        <v>217</v>
      </c>
      <c r="D1089" s="2">
        <v>4556.26</v>
      </c>
      <c r="E1089">
        <v>2</v>
      </c>
      <c r="F1089">
        <v>0.2</v>
      </c>
      <c r="G1089" t="s">
        <v>19</v>
      </c>
      <c r="H1089" t="s">
        <v>21</v>
      </c>
      <c r="I1089" t="s">
        <v>20</v>
      </c>
      <c r="J1089" s="2">
        <f>Table1_1[[#This Row],[Sales]]-Table1_1[[#This Row],[Sales]]*Table1_1[[#This Row],[Discount]]</f>
        <v>3645.0080000000003</v>
      </c>
      <c r="K1089" s="1">
        <v>45051</v>
      </c>
      <c r="L1089" s="11">
        <v>45056</v>
      </c>
      <c r="M1089">
        <f>DATEDIF(Table1_1[[#This Row],[Order Date]],Table1_1[[#This Row],[Ship Date]],"D")</f>
        <v>5</v>
      </c>
    </row>
    <row r="1090" spans="1:13" x14ac:dyDescent="0.35">
      <c r="A1090" t="s">
        <v>1497</v>
      </c>
      <c r="B1090" t="s">
        <v>866</v>
      </c>
      <c r="C1090" t="s">
        <v>125</v>
      </c>
      <c r="D1090" s="2">
        <v>1170.0899999999999</v>
      </c>
      <c r="E1090">
        <v>9</v>
      </c>
      <c r="F1090">
        <v>0.1</v>
      </c>
      <c r="G1090" t="s">
        <v>14</v>
      </c>
      <c r="H1090" t="s">
        <v>15</v>
      </c>
      <c r="I1090" t="s">
        <v>43</v>
      </c>
      <c r="J1090" s="2">
        <f>Table1_1[[#This Row],[Sales]]-Table1_1[[#This Row],[Sales]]*Table1_1[[#This Row],[Discount]]</f>
        <v>1053.0809999999999</v>
      </c>
      <c r="K1090" s="1">
        <v>45785</v>
      </c>
      <c r="L1090" s="11">
        <v>45789</v>
      </c>
      <c r="M1090">
        <f>DATEDIF(Table1_1[[#This Row],[Order Date]],Table1_1[[#This Row],[Ship Date]],"D")</f>
        <v>4</v>
      </c>
    </row>
    <row r="1091" spans="1:13" x14ac:dyDescent="0.35">
      <c r="A1091" t="s">
        <v>1498</v>
      </c>
      <c r="B1091" t="s">
        <v>655</v>
      </c>
      <c r="C1091" t="s">
        <v>26</v>
      </c>
      <c r="D1091" s="2">
        <v>3696.08</v>
      </c>
      <c r="E1091">
        <v>4</v>
      </c>
      <c r="F1091">
        <v>0.1</v>
      </c>
      <c r="G1091" t="s">
        <v>14</v>
      </c>
      <c r="H1091" t="s">
        <v>21</v>
      </c>
      <c r="I1091" t="s">
        <v>16</v>
      </c>
      <c r="J1091" s="2">
        <f>Table1_1[[#This Row],[Sales]]-Table1_1[[#This Row],[Sales]]*Table1_1[[#This Row],[Discount]]</f>
        <v>3326.4719999999998</v>
      </c>
      <c r="K1091" s="1">
        <v>45700</v>
      </c>
      <c r="L1091" s="11">
        <v>45702</v>
      </c>
      <c r="M1091">
        <f>DATEDIF(Table1_1[[#This Row],[Order Date]],Table1_1[[#This Row],[Ship Date]],"D")</f>
        <v>2</v>
      </c>
    </row>
    <row r="1092" spans="1:13" x14ac:dyDescent="0.35">
      <c r="A1092" t="s">
        <v>1499</v>
      </c>
      <c r="B1092" t="s">
        <v>643</v>
      </c>
      <c r="C1092" t="s">
        <v>443</v>
      </c>
      <c r="D1092" s="2">
        <v>487.36</v>
      </c>
      <c r="E1092">
        <v>3</v>
      </c>
      <c r="F1092">
        <v>0.3</v>
      </c>
      <c r="G1092" t="s">
        <v>14</v>
      </c>
      <c r="H1092" t="s">
        <v>21</v>
      </c>
      <c r="I1092" t="s">
        <v>43</v>
      </c>
      <c r="J1092" s="2">
        <f>Table1_1[[#This Row],[Sales]]-Table1_1[[#This Row],[Sales]]*Table1_1[[#This Row],[Discount]]</f>
        <v>341.15200000000004</v>
      </c>
      <c r="K1092" s="1">
        <v>45462</v>
      </c>
      <c r="L1092" s="11">
        <v>45467</v>
      </c>
      <c r="M1092">
        <f>DATEDIF(Table1_1[[#This Row],[Order Date]],Table1_1[[#This Row],[Ship Date]],"D")</f>
        <v>5</v>
      </c>
    </row>
    <row r="1093" spans="1:13" x14ac:dyDescent="0.35">
      <c r="A1093" t="s">
        <v>1500</v>
      </c>
      <c r="B1093" t="s">
        <v>652</v>
      </c>
      <c r="C1093" t="s">
        <v>190</v>
      </c>
      <c r="D1093" s="2">
        <v>3610.41</v>
      </c>
      <c r="E1093">
        <v>1</v>
      </c>
      <c r="F1093">
        <v>0.1</v>
      </c>
      <c r="G1093" t="s">
        <v>39</v>
      </c>
      <c r="H1093" t="s">
        <v>15</v>
      </c>
      <c r="I1093" t="s">
        <v>43</v>
      </c>
      <c r="J1093" s="2">
        <f>Table1_1[[#This Row],[Sales]]-Table1_1[[#This Row],[Sales]]*Table1_1[[#This Row],[Discount]]</f>
        <v>3249.3689999999997</v>
      </c>
      <c r="K1093" s="1">
        <v>45596</v>
      </c>
      <c r="L1093" s="11">
        <v>45601</v>
      </c>
      <c r="M1093">
        <f>DATEDIF(Table1_1[[#This Row],[Order Date]],Table1_1[[#This Row],[Ship Date]],"D")</f>
        <v>5</v>
      </c>
    </row>
    <row r="1094" spans="1:13" x14ac:dyDescent="0.35">
      <c r="A1094" t="s">
        <v>1501</v>
      </c>
      <c r="B1094" t="s">
        <v>1002</v>
      </c>
      <c r="C1094" t="s">
        <v>180</v>
      </c>
      <c r="D1094" s="2">
        <v>1791.56</v>
      </c>
      <c r="E1094">
        <v>4</v>
      </c>
      <c r="F1094">
        <v>0.2</v>
      </c>
      <c r="G1094" t="s">
        <v>14</v>
      </c>
      <c r="H1094" t="s">
        <v>15</v>
      </c>
      <c r="I1094" t="s">
        <v>43</v>
      </c>
      <c r="J1094" s="2">
        <f>Table1_1[[#This Row],[Sales]]-Table1_1[[#This Row],[Sales]]*Table1_1[[#This Row],[Discount]]</f>
        <v>1433.248</v>
      </c>
      <c r="K1094" s="1">
        <v>45035</v>
      </c>
      <c r="L1094" s="11">
        <v>45040</v>
      </c>
      <c r="M1094">
        <f>DATEDIF(Table1_1[[#This Row],[Order Date]],Table1_1[[#This Row],[Ship Date]],"D")</f>
        <v>5</v>
      </c>
    </row>
    <row r="1095" spans="1:13" x14ac:dyDescent="0.35">
      <c r="A1095" t="s">
        <v>1502</v>
      </c>
      <c r="B1095" t="s">
        <v>333</v>
      </c>
      <c r="C1095" t="s">
        <v>376</v>
      </c>
      <c r="D1095" s="2">
        <v>4197.13</v>
      </c>
      <c r="E1095">
        <v>7</v>
      </c>
      <c r="F1095">
        <v>0.3</v>
      </c>
      <c r="G1095" t="s">
        <v>39</v>
      </c>
      <c r="H1095" t="s">
        <v>21</v>
      </c>
      <c r="I1095" t="s">
        <v>16</v>
      </c>
      <c r="J1095" s="2">
        <f>Table1_1[[#This Row],[Sales]]-Table1_1[[#This Row],[Sales]]*Table1_1[[#This Row],[Discount]]</f>
        <v>2937.991</v>
      </c>
      <c r="K1095" s="1">
        <v>44943</v>
      </c>
      <c r="L1095" s="11">
        <v>44950</v>
      </c>
      <c r="M1095">
        <f>DATEDIF(Table1_1[[#This Row],[Order Date]],Table1_1[[#This Row],[Ship Date]],"D")</f>
        <v>7</v>
      </c>
    </row>
    <row r="1096" spans="1:13" x14ac:dyDescent="0.35">
      <c r="A1096" t="s">
        <v>1503</v>
      </c>
      <c r="B1096" t="s">
        <v>894</v>
      </c>
      <c r="C1096" t="s">
        <v>128</v>
      </c>
      <c r="D1096" s="2">
        <v>167.39</v>
      </c>
      <c r="E1096">
        <v>8</v>
      </c>
      <c r="F1096">
        <v>0.3</v>
      </c>
      <c r="G1096" t="s">
        <v>39</v>
      </c>
      <c r="H1096" t="s">
        <v>15</v>
      </c>
      <c r="I1096" t="s">
        <v>20</v>
      </c>
      <c r="J1096" s="2">
        <f>Table1_1[[#This Row],[Sales]]-Table1_1[[#This Row],[Sales]]*Table1_1[[#This Row],[Discount]]</f>
        <v>117.173</v>
      </c>
      <c r="K1096" s="1">
        <v>45011</v>
      </c>
      <c r="L1096" s="11">
        <v>45017</v>
      </c>
      <c r="M1096">
        <f>DATEDIF(Table1_1[[#This Row],[Order Date]],Table1_1[[#This Row],[Ship Date]],"D")</f>
        <v>6</v>
      </c>
    </row>
    <row r="1097" spans="1:13" x14ac:dyDescent="0.35">
      <c r="A1097" t="s">
        <v>1504</v>
      </c>
      <c r="B1097" t="s">
        <v>407</v>
      </c>
      <c r="C1097" t="s">
        <v>102</v>
      </c>
      <c r="D1097" s="2">
        <v>4404.16</v>
      </c>
      <c r="E1097">
        <v>9</v>
      </c>
      <c r="F1097">
        <v>0.3</v>
      </c>
      <c r="G1097" t="s">
        <v>19</v>
      </c>
      <c r="H1097" t="s">
        <v>21</v>
      </c>
      <c r="I1097" t="s">
        <v>43</v>
      </c>
      <c r="J1097" s="2">
        <f>Table1_1[[#This Row],[Sales]]-Table1_1[[#This Row],[Sales]]*Table1_1[[#This Row],[Discount]]</f>
        <v>3082.9120000000003</v>
      </c>
      <c r="K1097" s="1">
        <v>45629</v>
      </c>
      <c r="L1097" s="11">
        <v>45632</v>
      </c>
      <c r="M1097">
        <f>DATEDIF(Table1_1[[#This Row],[Order Date]],Table1_1[[#This Row],[Ship Date]],"D")</f>
        <v>3</v>
      </c>
    </row>
    <row r="1098" spans="1:13" x14ac:dyDescent="0.35">
      <c r="A1098" t="s">
        <v>1505</v>
      </c>
      <c r="B1098" t="s">
        <v>532</v>
      </c>
      <c r="C1098" t="s">
        <v>1012</v>
      </c>
      <c r="D1098" s="2">
        <v>917.1</v>
      </c>
      <c r="E1098">
        <v>8</v>
      </c>
      <c r="F1098">
        <v>0.1</v>
      </c>
      <c r="G1098" t="s">
        <v>39</v>
      </c>
      <c r="H1098" t="s">
        <v>21</v>
      </c>
      <c r="I1098" t="s">
        <v>16</v>
      </c>
      <c r="J1098" s="2">
        <f>Table1_1[[#This Row],[Sales]]-Table1_1[[#This Row],[Sales]]*Table1_1[[#This Row],[Discount]]</f>
        <v>825.39</v>
      </c>
      <c r="K1098" s="1">
        <v>45520</v>
      </c>
      <c r="L1098" s="11">
        <v>45526</v>
      </c>
      <c r="M1098">
        <f>DATEDIF(Table1_1[[#This Row],[Order Date]],Table1_1[[#This Row],[Ship Date]],"D")</f>
        <v>6</v>
      </c>
    </row>
    <row r="1099" spans="1:13" x14ac:dyDescent="0.35">
      <c r="A1099" t="s">
        <v>1506</v>
      </c>
      <c r="B1099" t="s">
        <v>891</v>
      </c>
      <c r="C1099" t="s">
        <v>229</v>
      </c>
      <c r="D1099" s="2">
        <v>4723.13</v>
      </c>
      <c r="E1099">
        <v>1</v>
      </c>
      <c r="F1099">
        <v>0.2</v>
      </c>
      <c r="G1099" t="s">
        <v>14</v>
      </c>
      <c r="H1099" t="s">
        <v>21</v>
      </c>
      <c r="I1099" t="s">
        <v>43</v>
      </c>
      <c r="J1099" s="2">
        <f>Table1_1[[#This Row],[Sales]]-Table1_1[[#This Row],[Sales]]*Table1_1[[#This Row],[Discount]]</f>
        <v>3778.5039999999999</v>
      </c>
      <c r="K1099" s="1">
        <v>44958</v>
      </c>
      <c r="L1099" s="11">
        <v>44965</v>
      </c>
      <c r="M1099">
        <f>DATEDIF(Table1_1[[#This Row],[Order Date]],Table1_1[[#This Row],[Ship Date]],"D")</f>
        <v>7</v>
      </c>
    </row>
    <row r="1100" spans="1:13" x14ac:dyDescent="0.35">
      <c r="A1100" t="s">
        <v>1507</v>
      </c>
      <c r="B1100" t="s">
        <v>288</v>
      </c>
      <c r="C1100" t="s">
        <v>441</v>
      </c>
      <c r="D1100" s="2">
        <v>882.97</v>
      </c>
      <c r="E1100">
        <v>9</v>
      </c>
      <c r="F1100">
        <v>0.3</v>
      </c>
      <c r="G1100" t="s">
        <v>19</v>
      </c>
      <c r="H1100" t="s">
        <v>15</v>
      </c>
      <c r="I1100" t="s">
        <v>20</v>
      </c>
      <c r="J1100" s="2">
        <f>Table1_1[[#This Row],[Sales]]-Table1_1[[#This Row],[Sales]]*Table1_1[[#This Row],[Discount]]</f>
        <v>618.07899999999995</v>
      </c>
      <c r="K1100" s="1">
        <v>45665</v>
      </c>
      <c r="L1100" s="11">
        <v>45666</v>
      </c>
      <c r="M1100">
        <f>DATEDIF(Table1_1[[#This Row],[Order Date]],Table1_1[[#This Row],[Ship Date]],"D")</f>
        <v>1</v>
      </c>
    </row>
    <row r="1101" spans="1:13" x14ac:dyDescent="0.35">
      <c r="A1101" t="s">
        <v>1508</v>
      </c>
      <c r="B1101" t="s">
        <v>652</v>
      </c>
      <c r="C1101" t="s">
        <v>450</v>
      </c>
      <c r="D1101" s="2">
        <v>4836.26</v>
      </c>
      <c r="E1101">
        <v>10</v>
      </c>
      <c r="F1101">
        <v>0.1</v>
      </c>
      <c r="G1101" t="s">
        <v>39</v>
      </c>
      <c r="H1101" t="s">
        <v>21</v>
      </c>
      <c r="I1101" t="s">
        <v>16</v>
      </c>
      <c r="J1101" s="2">
        <f>Table1_1[[#This Row],[Sales]]-Table1_1[[#This Row],[Sales]]*Table1_1[[#This Row],[Discount]]</f>
        <v>4352.634</v>
      </c>
      <c r="K1101" s="1">
        <v>45308</v>
      </c>
      <c r="L1101" s="11">
        <v>45311</v>
      </c>
      <c r="M1101">
        <f>DATEDIF(Table1_1[[#This Row],[Order Date]],Table1_1[[#This Row],[Ship Date]],"D")</f>
        <v>3</v>
      </c>
    </row>
    <row r="1102" spans="1:13" x14ac:dyDescent="0.35">
      <c r="A1102" t="s">
        <v>1509</v>
      </c>
      <c r="B1102" t="s">
        <v>382</v>
      </c>
      <c r="C1102" t="s">
        <v>207</v>
      </c>
      <c r="D1102" s="2">
        <v>3780.27</v>
      </c>
      <c r="E1102">
        <v>2</v>
      </c>
      <c r="F1102">
        <v>0.1</v>
      </c>
      <c r="G1102" t="s">
        <v>19</v>
      </c>
      <c r="H1102" t="s">
        <v>15</v>
      </c>
      <c r="I1102" t="s">
        <v>43</v>
      </c>
      <c r="J1102" s="2">
        <f>Table1_1[[#This Row],[Sales]]-Table1_1[[#This Row],[Sales]]*Table1_1[[#This Row],[Discount]]</f>
        <v>3402.2429999999999</v>
      </c>
      <c r="K1102" s="1">
        <v>45819</v>
      </c>
      <c r="L1102" s="11">
        <v>45820</v>
      </c>
      <c r="M1102">
        <f>DATEDIF(Table1_1[[#This Row],[Order Date]],Table1_1[[#This Row],[Ship Date]],"D")</f>
        <v>1</v>
      </c>
    </row>
    <row r="1103" spans="1:13" x14ac:dyDescent="0.35">
      <c r="A1103" t="s">
        <v>1510</v>
      </c>
      <c r="B1103" t="s">
        <v>140</v>
      </c>
      <c r="C1103" t="s">
        <v>1012</v>
      </c>
      <c r="D1103" s="2">
        <v>2558.7800000000002</v>
      </c>
      <c r="E1103">
        <v>2</v>
      </c>
      <c r="F1103">
        <v>0.2</v>
      </c>
      <c r="G1103" t="s">
        <v>14</v>
      </c>
      <c r="H1103" t="s">
        <v>21</v>
      </c>
      <c r="I1103" t="s">
        <v>20</v>
      </c>
      <c r="J1103" s="2">
        <f>Table1_1[[#This Row],[Sales]]-Table1_1[[#This Row],[Sales]]*Table1_1[[#This Row],[Discount]]</f>
        <v>2047.0240000000001</v>
      </c>
      <c r="K1103" s="1">
        <v>45209</v>
      </c>
      <c r="L1103" s="11">
        <v>45214</v>
      </c>
      <c r="M1103">
        <f>DATEDIF(Table1_1[[#This Row],[Order Date]],Table1_1[[#This Row],[Ship Date]],"D")</f>
        <v>5</v>
      </c>
    </row>
    <row r="1104" spans="1:13" x14ac:dyDescent="0.35">
      <c r="A1104" t="s">
        <v>1511</v>
      </c>
      <c r="B1104" t="s">
        <v>156</v>
      </c>
      <c r="C1104" t="s">
        <v>178</v>
      </c>
      <c r="D1104" s="2">
        <v>2543.8200000000002</v>
      </c>
      <c r="E1104">
        <v>6</v>
      </c>
      <c r="F1104">
        <v>0.1</v>
      </c>
      <c r="G1104" t="s">
        <v>39</v>
      </c>
      <c r="H1104" t="s">
        <v>15</v>
      </c>
      <c r="I1104" t="s">
        <v>16</v>
      </c>
      <c r="J1104" s="2">
        <f>Table1_1[[#This Row],[Sales]]-Table1_1[[#This Row],[Sales]]*Table1_1[[#This Row],[Discount]]</f>
        <v>2289.4380000000001</v>
      </c>
      <c r="K1104" s="1">
        <v>45112</v>
      </c>
      <c r="L1104" s="11">
        <v>45116</v>
      </c>
      <c r="M1104">
        <f>DATEDIF(Table1_1[[#This Row],[Order Date]],Table1_1[[#This Row],[Ship Date]],"D")</f>
        <v>4</v>
      </c>
    </row>
    <row r="1105" spans="1:13" x14ac:dyDescent="0.35">
      <c r="A1105" t="s">
        <v>1512</v>
      </c>
      <c r="B1105" t="s">
        <v>718</v>
      </c>
      <c r="C1105" t="s">
        <v>42</v>
      </c>
      <c r="D1105" s="2">
        <v>3402.54</v>
      </c>
      <c r="E1105">
        <v>6</v>
      </c>
      <c r="F1105">
        <v>0.1</v>
      </c>
      <c r="G1105" t="s">
        <v>14</v>
      </c>
      <c r="H1105" t="s">
        <v>15</v>
      </c>
      <c r="I1105" t="s">
        <v>43</v>
      </c>
      <c r="J1105" s="2">
        <f>Table1_1[[#This Row],[Sales]]-Table1_1[[#This Row],[Sales]]*Table1_1[[#This Row],[Discount]]</f>
        <v>3062.2860000000001</v>
      </c>
      <c r="K1105" s="1">
        <v>45072</v>
      </c>
      <c r="L1105" s="11">
        <v>45077</v>
      </c>
      <c r="M1105">
        <f>DATEDIF(Table1_1[[#This Row],[Order Date]],Table1_1[[#This Row],[Ship Date]],"D")</f>
        <v>5</v>
      </c>
    </row>
    <row r="1106" spans="1:13" x14ac:dyDescent="0.35">
      <c r="A1106" t="s">
        <v>1513</v>
      </c>
      <c r="B1106" t="s">
        <v>670</v>
      </c>
      <c r="C1106" t="s">
        <v>1012</v>
      </c>
      <c r="D1106" s="2">
        <v>3099.6</v>
      </c>
      <c r="E1106">
        <v>10</v>
      </c>
      <c r="F1106">
        <v>0.2</v>
      </c>
      <c r="G1106" t="s">
        <v>39</v>
      </c>
      <c r="H1106" t="s">
        <v>21</v>
      </c>
      <c r="I1106" t="s">
        <v>43</v>
      </c>
      <c r="J1106" s="2">
        <f>Table1_1[[#This Row],[Sales]]-Table1_1[[#This Row],[Sales]]*Table1_1[[#This Row],[Discount]]</f>
        <v>2479.6799999999998</v>
      </c>
      <c r="K1106" s="1">
        <v>45073</v>
      </c>
      <c r="L1106" s="11">
        <v>45075</v>
      </c>
      <c r="M1106">
        <f>DATEDIF(Table1_1[[#This Row],[Order Date]],Table1_1[[#This Row],[Ship Date]],"D")</f>
        <v>2</v>
      </c>
    </row>
    <row r="1107" spans="1:13" x14ac:dyDescent="0.35">
      <c r="A1107" t="s">
        <v>1514</v>
      </c>
      <c r="B1107" t="s">
        <v>538</v>
      </c>
      <c r="C1107" t="s">
        <v>128</v>
      </c>
      <c r="D1107" s="2">
        <v>4120.93</v>
      </c>
      <c r="E1107">
        <v>4</v>
      </c>
      <c r="F1107">
        <v>0.1</v>
      </c>
      <c r="G1107" t="s">
        <v>14</v>
      </c>
      <c r="H1107" t="s">
        <v>21</v>
      </c>
      <c r="I1107" t="s">
        <v>16</v>
      </c>
      <c r="J1107" s="2">
        <f>Table1_1[[#This Row],[Sales]]-Table1_1[[#This Row],[Sales]]*Table1_1[[#This Row],[Discount]]</f>
        <v>3708.8370000000004</v>
      </c>
      <c r="K1107" s="1">
        <v>45642</v>
      </c>
      <c r="L1107" s="11">
        <v>45645</v>
      </c>
      <c r="M1107">
        <f>DATEDIF(Table1_1[[#This Row],[Order Date]],Table1_1[[#This Row],[Ship Date]],"D")</f>
        <v>3</v>
      </c>
    </row>
    <row r="1108" spans="1:13" x14ac:dyDescent="0.35">
      <c r="A1108" t="s">
        <v>1515</v>
      </c>
      <c r="B1108" t="s">
        <v>112</v>
      </c>
      <c r="C1108" t="s">
        <v>220</v>
      </c>
      <c r="D1108" s="2">
        <v>1691.26</v>
      </c>
      <c r="E1108">
        <v>3</v>
      </c>
      <c r="F1108">
        <v>0.3</v>
      </c>
      <c r="G1108" t="s">
        <v>14</v>
      </c>
      <c r="H1108" t="s">
        <v>15</v>
      </c>
      <c r="I1108" t="s">
        <v>43</v>
      </c>
      <c r="J1108" s="2">
        <f>Table1_1[[#This Row],[Sales]]-Table1_1[[#This Row],[Sales]]*Table1_1[[#This Row],[Discount]]</f>
        <v>1183.8820000000001</v>
      </c>
      <c r="K1108" s="1">
        <v>45234</v>
      </c>
      <c r="L1108" s="11">
        <v>45240</v>
      </c>
      <c r="M1108">
        <f>DATEDIF(Table1_1[[#This Row],[Order Date]],Table1_1[[#This Row],[Ship Date]],"D")</f>
        <v>6</v>
      </c>
    </row>
    <row r="1109" spans="1:13" x14ac:dyDescent="0.35">
      <c r="A1109" t="s">
        <v>1516</v>
      </c>
      <c r="B1109" t="s">
        <v>607</v>
      </c>
      <c r="C1109" t="s">
        <v>175</v>
      </c>
      <c r="D1109" s="2">
        <v>2968.26</v>
      </c>
      <c r="E1109">
        <v>4</v>
      </c>
      <c r="F1109">
        <v>0.2</v>
      </c>
      <c r="G1109" t="s">
        <v>14</v>
      </c>
      <c r="H1109" t="s">
        <v>21</v>
      </c>
      <c r="I1109" t="s">
        <v>20</v>
      </c>
      <c r="J1109" s="2">
        <f>Table1_1[[#This Row],[Sales]]-Table1_1[[#This Row],[Sales]]*Table1_1[[#This Row],[Discount]]</f>
        <v>2374.6080000000002</v>
      </c>
      <c r="K1109" s="1">
        <v>45547</v>
      </c>
      <c r="L1109" s="11">
        <v>45549</v>
      </c>
      <c r="M1109">
        <f>DATEDIF(Table1_1[[#This Row],[Order Date]],Table1_1[[#This Row],[Ship Date]],"D")</f>
        <v>2</v>
      </c>
    </row>
    <row r="1110" spans="1:13" x14ac:dyDescent="0.35">
      <c r="A1110" t="s">
        <v>1517</v>
      </c>
      <c r="B1110" t="s">
        <v>253</v>
      </c>
      <c r="C1110" t="s">
        <v>31</v>
      </c>
      <c r="D1110" s="2">
        <v>2886.78</v>
      </c>
      <c r="E1110">
        <v>5</v>
      </c>
      <c r="F1110">
        <v>0.3</v>
      </c>
      <c r="G1110" t="s">
        <v>19</v>
      </c>
      <c r="H1110" t="s">
        <v>15</v>
      </c>
      <c r="I1110" t="s">
        <v>43</v>
      </c>
      <c r="J1110" s="2">
        <f>Table1_1[[#This Row],[Sales]]-Table1_1[[#This Row],[Sales]]*Table1_1[[#This Row],[Discount]]</f>
        <v>2020.7460000000001</v>
      </c>
      <c r="K1110" s="1">
        <v>45672</v>
      </c>
      <c r="L1110" s="11">
        <v>45677</v>
      </c>
      <c r="M1110">
        <f>DATEDIF(Table1_1[[#This Row],[Order Date]],Table1_1[[#This Row],[Ship Date]],"D")</f>
        <v>5</v>
      </c>
    </row>
    <row r="1111" spans="1:13" x14ac:dyDescent="0.35">
      <c r="A1111" t="s">
        <v>1518</v>
      </c>
      <c r="B1111" t="s">
        <v>462</v>
      </c>
      <c r="C1111" t="s">
        <v>211</v>
      </c>
      <c r="D1111" s="2">
        <v>971.05</v>
      </c>
      <c r="E1111">
        <v>6</v>
      </c>
      <c r="F1111">
        <v>0.1</v>
      </c>
      <c r="G1111" t="s">
        <v>39</v>
      </c>
      <c r="H1111" t="s">
        <v>15</v>
      </c>
      <c r="I1111" t="s">
        <v>43</v>
      </c>
      <c r="J1111" s="2">
        <f>Table1_1[[#This Row],[Sales]]-Table1_1[[#This Row],[Sales]]*Table1_1[[#This Row],[Discount]]</f>
        <v>873.94499999999994</v>
      </c>
      <c r="K1111" s="1">
        <v>45566</v>
      </c>
      <c r="L1111" s="11">
        <v>45573</v>
      </c>
      <c r="M1111">
        <f>DATEDIF(Table1_1[[#This Row],[Order Date]],Table1_1[[#This Row],[Ship Date]],"D")</f>
        <v>7</v>
      </c>
    </row>
    <row r="1112" spans="1:13" x14ac:dyDescent="0.35">
      <c r="A1112" t="s">
        <v>1519</v>
      </c>
      <c r="B1112" t="s">
        <v>256</v>
      </c>
      <c r="C1112" t="s">
        <v>357</v>
      </c>
      <c r="D1112" s="2">
        <v>2469.69</v>
      </c>
      <c r="E1112">
        <v>4</v>
      </c>
      <c r="F1112">
        <v>0.1</v>
      </c>
      <c r="G1112" t="s">
        <v>19</v>
      </c>
      <c r="H1112" t="s">
        <v>15</v>
      </c>
      <c r="I1112" t="s">
        <v>20</v>
      </c>
      <c r="J1112" s="2">
        <f>Table1_1[[#This Row],[Sales]]-Table1_1[[#This Row],[Sales]]*Table1_1[[#This Row],[Discount]]</f>
        <v>2222.721</v>
      </c>
      <c r="K1112" s="1">
        <v>44990</v>
      </c>
      <c r="L1112" s="11">
        <v>44993</v>
      </c>
      <c r="M1112">
        <f>DATEDIF(Table1_1[[#This Row],[Order Date]],Table1_1[[#This Row],[Ship Date]],"D")</f>
        <v>3</v>
      </c>
    </row>
    <row r="1113" spans="1:13" x14ac:dyDescent="0.35">
      <c r="A1113" t="s">
        <v>1520</v>
      </c>
      <c r="B1113" t="s">
        <v>333</v>
      </c>
      <c r="C1113" t="s">
        <v>143</v>
      </c>
      <c r="D1113" s="2">
        <v>249.99</v>
      </c>
      <c r="E1113">
        <v>3</v>
      </c>
      <c r="F1113">
        <v>0</v>
      </c>
      <c r="G1113" t="s">
        <v>39</v>
      </c>
      <c r="H1113" t="s">
        <v>21</v>
      </c>
      <c r="I1113" t="s">
        <v>16</v>
      </c>
      <c r="J1113" s="2">
        <f>Table1_1[[#This Row],[Sales]]-Table1_1[[#This Row],[Sales]]*Table1_1[[#This Row],[Discount]]</f>
        <v>249.99</v>
      </c>
      <c r="K1113" s="1">
        <v>45673</v>
      </c>
      <c r="L1113" s="11">
        <v>45675</v>
      </c>
      <c r="M1113">
        <f>DATEDIF(Table1_1[[#This Row],[Order Date]],Table1_1[[#This Row],[Ship Date]],"D")</f>
        <v>2</v>
      </c>
    </row>
    <row r="1114" spans="1:13" x14ac:dyDescent="0.35">
      <c r="A1114" t="s">
        <v>1521</v>
      </c>
      <c r="B1114" t="s">
        <v>396</v>
      </c>
      <c r="C1114" t="s">
        <v>234</v>
      </c>
      <c r="D1114" s="2">
        <v>3472.92</v>
      </c>
      <c r="E1114">
        <v>4</v>
      </c>
      <c r="F1114">
        <v>0.1</v>
      </c>
      <c r="G1114" t="s">
        <v>14</v>
      </c>
      <c r="H1114" t="s">
        <v>21</v>
      </c>
      <c r="I1114" t="s">
        <v>20</v>
      </c>
      <c r="J1114" s="2">
        <f>Table1_1[[#This Row],[Sales]]-Table1_1[[#This Row],[Sales]]*Table1_1[[#This Row],[Discount]]</f>
        <v>3125.6280000000002</v>
      </c>
      <c r="K1114" s="1">
        <v>44979</v>
      </c>
      <c r="L1114" s="11">
        <v>44981</v>
      </c>
      <c r="M1114">
        <f>DATEDIF(Table1_1[[#This Row],[Order Date]],Table1_1[[#This Row],[Ship Date]],"D")</f>
        <v>2</v>
      </c>
    </row>
    <row r="1115" spans="1:13" x14ac:dyDescent="0.35">
      <c r="A1115" t="s">
        <v>1522</v>
      </c>
      <c r="B1115" t="s">
        <v>36</v>
      </c>
      <c r="C1115" t="s">
        <v>229</v>
      </c>
      <c r="D1115" s="2">
        <v>2823.64</v>
      </c>
      <c r="E1115">
        <v>2</v>
      </c>
      <c r="F1115">
        <v>0.3</v>
      </c>
      <c r="G1115" t="s">
        <v>14</v>
      </c>
      <c r="H1115" t="s">
        <v>21</v>
      </c>
      <c r="I1115" t="s">
        <v>20</v>
      </c>
      <c r="J1115" s="2">
        <f>Table1_1[[#This Row],[Sales]]-Table1_1[[#This Row],[Sales]]*Table1_1[[#This Row],[Discount]]</f>
        <v>1976.5479999999998</v>
      </c>
      <c r="K1115" s="1">
        <v>45161</v>
      </c>
      <c r="L1115" s="11">
        <v>45164</v>
      </c>
      <c r="M1115">
        <f>DATEDIF(Table1_1[[#This Row],[Order Date]],Table1_1[[#This Row],[Ship Date]],"D")</f>
        <v>3</v>
      </c>
    </row>
    <row r="1116" spans="1:13" x14ac:dyDescent="0.35">
      <c r="A1116" t="s">
        <v>1523</v>
      </c>
      <c r="B1116" t="s">
        <v>193</v>
      </c>
      <c r="C1116" t="s">
        <v>254</v>
      </c>
      <c r="D1116" s="2">
        <v>1713.68</v>
      </c>
      <c r="E1116">
        <v>10</v>
      </c>
      <c r="F1116">
        <v>0.1</v>
      </c>
      <c r="G1116" t="s">
        <v>19</v>
      </c>
      <c r="H1116" t="s">
        <v>21</v>
      </c>
      <c r="I1116" t="s">
        <v>16</v>
      </c>
      <c r="J1116" s="2">
        <f>Table1_1[[#This Row],[Sales]]-Table1_1[[#This Row],[Sales]]*Table1_1[[#This Row],[Discount]]</f>
        <v>1542.3120000000001</v>
      </c>
      <c r="K1116" s="1">
        <v>45719</v>
      </c>
      <c r="L1116" s="11">
        <v>45721</v>
      </c>
      <c r="M1116">
        <f>DATEDIF(Table1_1[[#This Row],[Order Date]],Table1_1[[#This Row],[Ship Date]],"D")</f>
        <v>2</v>
      </c>
    </row>
    <row r="1117" spans="1:13" x14ac:dyDescent="0.35">
      <c r="A1117" t="s">
        <v>1524</v>
      </c>
      <c r="B1117" t="s">
        <v>1178</v>
      </c>
      <c r="C1117" t="s">
        <v>565</v>
      </c>
      <c r="D1117" s="2">
        <v>418.51</v>
      </c>
      <c r="E1117">
        <v>10</v>
      </c>
      <c r="F1117">
        <v>0</v>
      </c>
      <c r="G1117" t="s">
        <v>14</v>
      </c>
      <c r="H1117" t="s">
        <v>21</v>
      </c>
      <c r="I1117" t="s">
        <v>43</v>
      </c>
      <c r="J1117" s="2">
        <f>Table1_1[[#This Row],[Sales]]-Table1_1[[#This Row],[Sales]]*Table1_1[[#This Row],[Discount]]</f>
        <v>418.51</v>
      </c>
      <c r="K1117" s="1">
        <v>45134</v>
      </c>
      <c r="L1117" s="11">
        <v>45135</v>
      </c>
      <c r="M1117">
        <f>DATEDIF(Table1_1[[#This Row],[Order Date]],Table1_1[[#This Row],[Ship Date]],"D")</f>
        <v>1</v>
      </c>
    </row>
    <row r="1118" spans="1:13" x14ac:dyDescent="0.35">
      <c r="A1118" t="s">
        <v>1525</v>
      </c>
      <c r="B1118" t="s">
        <v>422</v>
      </c>
      <c r="C1118" t="s">
        <v>357</v>
      </c>
      <c r="D1118" s="2">
        <v>3998.4</v>
      </c>
      <c r="E1118">
        <v>6</v>
      </c>
      <c r="F1118">
        <v>0.3</v>
      </c>
      <c r="G1118" t="s">
        <v>14</v>
      </c>
      <c r="H1118" t="s">
        <v>21</v>
      </c>
      <c r="I1118" t="s">
        <v>20</v>
      </c>
      <c r="J1118" s="2">
        <f>Table1_1[[#This Row],[Sales]]-Table1_1[[#This Row],[Sales]]*Table1_1[[#This Row],[Discount]]</f>
        <v>2798.88</v>
      </c>
      <c r="K1118" s="1">
        <v>44979</v>
      </c>
      <c r="L1118" s="11">
        <v>44985</v>
      </c>
      <c r="M1118">
        <f>DATEDIF(Table1_1[[#This Row],[Order Date]],Table1_1[[#This Row],[Ship Date]],"D")</f>
        <v>6</v>
      </c>
    </row>
    <row r="1119" spans="1:13" x14ac:dyDescent="0.35">
      <c r="A1119" t="s">
        <v>1526</v>
      </c>
      <c r="B1119" t="s">
        <v>270</v>
      </c>
      <c r="C1119" t="s">
        <v>105</v>
      </c>
      <c r="D1119" s="2">
        <v>2379.64</v>
      </c>
      <c r="E1119">
        <v>6</v>
      </c>
      <c r="F1119">
        <v>0.1</v>
      </c>
      <c r="G1119" t="s">
        <v>39</v>
      </c>
      <c r="H1119" t="s">
        <v>15</v>
      </c>
      <c r="I1119" t="s">
        <v>16</v>
      </c>
      <c r="J1119" s="2">
        <f>Table1_1[[#This Row],[Sales]]-Table1_1[[#This Row],[Sales]]*Table1_1[[#This Row],[Discount]]</f>
        <v>2141.6759999999999</v>
      </c>
      <c r="K1119" s="1">
        <v>45026</v>
      </c>
      <c r="L1119" s="11">
        <v>45027</v>
      </c>
      <c r="M1119">
        <f>DATEDIF(Table1_1[[#This Row],[Order Date]],Table1_1[[#This Row],[Ship Date]],"D")</f>
        <v>1</v>
      </c>
    </row>
    <row r="1120" spans="1:13" x14ac:dyDescent="0.35">
      <c r="A1120" t="s">
        <v>1527</v>
      </c>
      <c r="B1120" t="s">
        <v>322</v>
      </c>
      <c r="C1120" t="s">
        <v>357</v>
      </c>
      <c r="D1120" s="2">
        <v>1293.5</v>
      </c>
      <c r="E1120">
        <v>10</v>
      </c>
      <c r="F1120">
        <v>0.2</v>
      </c>
      <c r="G1120" t="s">
        <v>14</v>
      </c>
      <c r="H1120" t="s">
        <v>15</v>
      </c>
      <c r="I1120" t="s">
        <v>20</v>
      </c>
      <c r="J1120" s="2">
        <f>Table1_1[[#This Row],[Sales]]-Table1_1[[#This Row],[Sales]]*Table1_1[[#This Row],[Discount]]</f>
        <v>1034.8</v>
      </c>
      <c r="K1120" s="1">
        <v>44987</v>
      </c>
      <c r="L1120" s="11">
        <v>44989</v>
      </c>
      <c r="M1120">
        <f>DATEDIF(Table1_1[[#This Row],[Order Date]],Table1_1[[#This Row],[Ship Date]],"D")</f>
        <v>2</v>
      </c>
    </row>
    <row r="1121" spans="1:13" x14ac:dyDescent="0.35">
      <c r="A1121" t="s">
        <v>1528</v>
      </c>
      <c r="B1121" t="s">
        <v>1529</v>
      </c>
      <c r="C1121" t="s">
        <v>285</v>
      </c>
      <c r="D1121" s="2">
        <v>3513.01</v>
      </c>
      <c r="E1121">
        <v>4</v>
      </c>
      <c r="F1121">
        <v>0</v>
      </c>
      <c r="G1121" t="s">
        <v>14</v>
      </c>
      <c r="H1121" t="s">
        <v>21</v>
      </c>
      <c r="I1121" t="s">
        <v>16</v>
      </c>
      <c r="J1121" s="2">
        <f>Table1_1[[#This Row],[Sales]]-Table1_1[[#This Row],[Sales]]*Table1_1[[#This Row],[Discount]]</f>
        <v>3513.01</v>
      </c>
      <c r="K1121" s="1">
        <v>45228</v>
      </c>
      <c r="L1121" s="11">
        <v>45231</v>
      </c>
      <c r="M1121">
        <f>DATEDIF(Table1_1[[#This Row],[Order Date]],Table1_1[[#This Row],[Ship Date]],"D")</f>
        <v>3</v>
      </c>
    </row>
    <row r="1122" spans="1:13" x14ac:dyDescent="0.35">
      <c r="A1122" t="s">
        <v>1530</v>
      </c>
      <c r="B1122" t="s">
        <v>791</v>
      </c>
      <c r="C1122" t="s">
        <v>26</v>
      </c>
      <c r="D1122" s="2">
        <v>4361.9399999999996</v>
      </c>
      <c r="E1122">
        <v>8</v>
      </c>
      <c r="F1122">
        <v>0.2</v>
      </c>
      <c r="G1122" t="s">
        <v>14</v>
      </c>
      <c r="H1122" t="s">
        <v>21</v>
      </c>
      <c r="I1122" t="s">
        <v>16</v>
      </c>
      <c r="J1122" s="2">
        <f>Table1_1[[#This Row],[Sales]]-Table1_1[[#This Row],[Sales]]*Table1_1[[#This Row],[Discount]]</f>
        <v>3489.5519999999997</v>
      </c>
      <c r="K1122" s="1">
        <v>45131</v>
      </c>
      <c r="L1122" s="11">
        <v>45136</v>
      </c>
      <c r="M1122">
        <f>DATEDIF(Table1_1[[#This Row],[Order Date]],Table1_1[[#This Row],[Ship Date]],"D")</f>
        <v>5</v>
      </c>
    </row>
    <row r="1123" spans="1:13" x14ac:dyDescent="0.35">
      <c r="A1123" t="s">
        <v>1531</v>
      </c>
      <c r="B1123" t="s">
        <v>1069</v>
      </c>
      <c r="C1123" t="s">
        <v>1012</v>
      </c>
      <c r="D1123" s="2">
        <v>1174.71</v>
      </c>
      <c r="E1123">
        <v>1</v>
      </c>
      <c r="F1123">
        <v>0</v>
      </c>
      <c r="G1123" t="s">
        <v>39</v>
      </c>
      <c r="H1123" t="s">
        <v>21</v>
      </c>
      <c r="I1123" t="s">
        <v>20</v>
      </c>
      <c r="J1123" s="2">
        <f>Table1_1[[#This Row],[Sales]]-Table1_1[[#This Row],[Sales]]*Table1_1[[#This Row],[Discount]]</f>
        <v>1174.71</v>
      </c>
      <c r="K1123" s="1">
        <v>45590</v>
      </c>
      <c r="L1123" s="11">
        <v>45597</v>
      </c>
      <c r="M1123">
        <f>DATEDIF(Table1_1[[#This Row],[Order Date]],Table1_1[[#This Row],[Ship Date]],"D")</f>
        <v>7</v>
      </c>
    </row>
    <row r="1124" spans="1:13" x14ac:dyDescent="0.35">
      <c r="A1124" t="s">
        <v>1532</v>
      </c>
      <c r="B1124" t="s">
        <v>627</v>
      </c>
      <c r="C1124" t="s">
        <v>231</v>
      </c>
      <c r="D1124" s="2">
        <v>3994.09</v>
      </c>
      <c r="E1124">
        <v>10</v>
      </c>
      <c r="F1124">
        <v>0.1</v>
      </c>
      <c r="G1124" t="s">
        <v>19</v>
      </c>
      <c r="H1124" t="s">
        <v>15</v>
      </c>
      <c r="I1124" t="s">
        <v>43</v>
      </c>
      <c r="J1124" s="2">
        <f>Table1_1[[#This Row],[Sales]]-Table1_1[[#This Row],[Sales]]*Table1_1[[#This Row],[Discount]]</f>
        <v>3594.681</v>
      </c>
      <c r="K1124" s="1">
        <v>45020</v>
      </c>
      <c r="L1124" s="11">
        <v>45025</v>
      </c>
      <c r="M1124">
        <f>DATEDIF(Table1_1[[#This Row],[Order Date]],Table1_1[[#This Row],[Ship Date]],"D")</f>
        <v>5</v>
      </c>
    </row>
    <row r="1125" spans="1:13" x14ac:dyDescent="0.35">
      <c r="A1125" t="s">
        <v>1533</v>
      </c>
      <c r="B1125" t="s">
        <v>98</v>
      </c>
      <c r="C1125" t="s">
        <v>77</v>
      </c>
      <c r="D1125" s="2">
        <v>4978.05</v>
      </c>
      <c r="E1125">
        <v>7</v>
      </c>
      <c r="F1125">
        <v>0.2</v>
      </c>
      <c r="G1125" t="s">
        <v>14</v>
      </c>
      <c r="H1125" t="s">
        <v>15</v>
      </c>
      <c r="I1125" t="s">
        <v>16</v>
      </c>
      <c r="J1125" s="2">
        <f>Table1_1[[#This Row],[Sales]]-Table1_1[[#This Row],[Sales]]*Table1_1[[#This Row],[Discount]]</f>
        <v>3982.44</v>
      </c>
      <c r="K1125" s="1">
        <v>45151</v>
      </c>
      <c r="L1125" s="11">
        <v>45155</v>
      </c>
      <c r="M1125">
        <f>DATEDIF(Table1_1[[#This Row],[Order Date]],Table1_1[[#This Row],[Ship Date]],"D")</f>
        <v>4</v>
      </c>
    </row>
    <row r="1126" spans="1:13" x14ac:dyDescent="0.35">
      <c r="A1126" t="s">
        <v>1534</v>
      </c>
      <c r="B1126" t="s">
        <v>998</v>
      </c>
      <c r="C1126" t="s">
        <v>1012</v>
      </c>
      <c r="D1126" s="2">
        <v>985.54</v>
      </c>
      <c r="E1126">
        <v>8</v>
      </c>
      <c r="F1126">
        <v>0.2</v>
      </c>
      <c r="G1126" t="s">
        <v>19</v>
      </c>
      <c r="H1126" t="s">
        <v>15</v>
      </c>
      <c r="I1126" t="s">
        <v>20</v>
      </c>
      <c r="J1126" s="2">
        <f>Table1_1[[#This Row],[Sales]]-Table1_1[[#This Row],[Sales]]*Table1_1[[#This Row],[Discount]]</f>
        <v>788.43200000000002</v>
      </c>
      <c r="K1126" s="1">
        <v>45723</v>
      </c>
      <c r="L1126" s="11">
        <v>45726</v>
      </c>
      <c r="M1126">
        <f>DATEDIF(Table1_1[[#This Row],[Order Date]],Table1_1[[#This Row],[Ship Date]],"D")</f>
        <v>3</v>
      </c>
    </row>
    <row r="1127" spans="1:13" x14ac:dyDescent="0.35">
      <c r="A1127" t="s">
        <v>1535</v>
      </c>
      <c r="B1127" t="s">
        <v>855</v>
      </c>
      <c r="C1127" t="s">
        <v>157</v>
      </c>
      <c r="D1127" s="2">
        <v>362.23</v>
      </c>
      <c r="E1127">
        <v>3</v>
      </c>
      <c r="F1127">
        <v>0.2</v>
      </c>
      <c r="G1127" t="s">
        <v>14</v>
      </c>
      <c r="H1127" t="s">
        <v>21</v>
      </c>
      <c r="I1127" t="s">
        <v>16</v>
      </c>
      <c r="J1127" s="2">
        <f>Table1_1[[#This Row],[Sales]]-Table1_1[[#This Row],[Sales]]*Table1_1[[#This Row],[Discount]]</f>
        <v>289.78399999999999</v>
      </c>
      <c r="K1127" s="1">
        <v>45827</v>
      </c>
      <c r="L1127" s="11">
        <v>45832</v>
      </c>
      <c r="M1127">
        <f>DATEDIF(Table1_1[[#This Row],[Order Date]],Table1_1[[#This Row],[Ship Date]],"D")</f>
        <v>5</v>
      </c>
    </row>
    <row r="1128" spans="1:13" x14ac:dyDescent="0.35">
      <c r="A1128" t="s">
        <v>1536</v>
      </c>
      <c r="B1128" t="s">
        <v>81</v>
      </c>
      <c r="C1128" t="s">
        <v>388</v>
      </c>
      <c r="D1128" s="2">
        <v>3908.27</v>
      </c>
      <c r="E1128">
        <v>9</v>
      </c>
      <c r="F1128">
        <v>0.2</v>
      </c>
      <c r="G1128" t="s">
        <v>14</v>
      </c>
      <c r="H1128" t="s">
        <v>21</v>
      </c>
      <c r="I1128" t="s">
        <v>16</v>
      </c>
      <c r="J1128" s="2">
        <f>Table1_1[[#This Row],[Sales]]-Table1_1[[#This Row],[Sales]]*Table1_1[[#This Row],[Discount]]</f>
        <v>3126.616</v>
      </c>
      <c r="K1128" s="1">
        <v>45745</v>
      </c>
      <c r="L1128" s="11">
        <v>45746</v>
      </c>
      <c r="M1128">
        <f>DATEDIF(Table1_1[[#This Row],[Order Date]],Table1_1[[#This Row],[Ship Date]],"D")</f>
        <v>1</v>
      </c>
    </row>
    <row r="1129" spans="1:13" x14ac:dyDescent="0.35">
      <c r="A1129" t="s">
        <v>1537</v>
      </c>
      <c r="B1129" t="s">
        <v>702</v>
      </c>
      <c r="C1129" t="s">
        <v>595</v>
      </c>
      <c r="D1129" s="2">
        <v>3236.72</v>
      </c>
      <c r="E1129">
        <v>1</v>
      </c>
      <c r="F1129">
        <v>0.3</v>
      </c>
      <c r="G1129" t="s">
        <v>14</v>
      </c>
      <c r="H1129" t="s">
        <v>21</v>
      </c>
      <c r="I1129" t="s">
        <v>16</v>
      </c>
      <c r="J1129" s="2">
        <f>Table1_1[[#This Row],[Sales]]-Table1_1[[#This Row],[Sales]]*Table1_1[[#This Row],[Discount]]</f>
        <v>2265.7039999999997</v>
      </c>
      <c r="K1129" s="1">
        <v>45016</v>
      </c>
      <c r="L1129" s="11">
        <v>45019</v>
      </c>
      <c r="M1129">
        <f>DATEDIF(Table1_1[[#This Row],[Order Date]],Table1_1[[#This Row],[Ship Date]],"D")</f>
        <v>3</v>
      </c>
    </row>
    <row r="1130" spans="1:13" x14ac:dyDescent="0.35">
      <c r="A1130" t="s">
        <v>1538</v>
      </c>
      <c r="B1130" t="s">
        <v>466</v>
      </c>
      <c r="C1130" t="s">
        <v>278</v>
      </c>
      <c r="D1130" s="2">
        <v>391.56</v>
      </c>
      <c r="E1130">
        <v>4</v>
      </c>
      <c r="F1130">
        <v>0.2</v>
      </c>
      <c r="G1130" t="s">
        <v>14</v>
      </c>
      <c r="H1130" t="s">
        <v>15</v>
      </c>
      <c r="I1130" t="s">
        <v>43</v>
      </c>
      <c r="J1130" s="2">
        <f>Table1_1[[#This Row],[Sales]]-Table1_1[[#This Row],[Sales]]*Table1_1[[#This Row],[Discount]]</f>
        <v>313.24799999999999</v>
      </c>
      <c r="K1130" s="1">
        <v>45082</v>
      </c>
      <c r="L1130" s="11">
        <v>45086</v>
      </c>
      <c r="M1130">
        <f>DATEDIF(Table1_1[[#This Row],[Order Date]],Table1_1[[#This Row],[Ship Date]],"D")</f>
        <v>4</v>
      </c>
    </row>
    <row r="1131" spans="1:13" x14ac:dyDescent="0.35">
      <c r="A1131" t="s">
        <v>1539</v>
      </c>
      <c r="B1131" t="s">
        <v>445</v>
      </c>
      <c r="C1131" t="s">
        <v>175</v>
      </c>
      <c r="D1131" s="2">
        <v>4826.9799999999996</v>
      </c>
      <c r="E1131">
        <v>6</v>
      </c>
      <c r="F1131">
        <v>0.1</v>
      </c>
      <c r="G1131" t="s">
        <v>39</v>
      </c>
      <c r="H1131" t="s">
        <v>15</v>
      </c>
      <c r="I1131" t="s">
        <v>43</v>
      </c>
      <c r="J1131" s="2">
        <f>Table1_1[[#This Row],[Sales]]-Table1_1[[#This Row],[Sales]]*Table1_1[[#This Row],[Discount]]</f>
        <v>4344.2819999999992</v>
      </c>
      <c r="K1131" s="1">
        <v>45393</v>
      </c>
      <c r="L1131" s="11">
        <v>45399</v>
      </c>
      <c r="M1131">
        <f>DATEDIF(Table1_1[[#This Row],[Order Date]],Table1_1[[#This Row],[Ship Date]],"D")</f>
        <v>6</v>
      </c>
    </row>
    <row r="1132" spans="1:13" x14ac:dyDescent="0.35">
      <c r="A1132" t="s">
        <v>1540</v>
      </c>
      <c r="B1132" t="s">
        <v>236</v>
      </c>
      <c r="C1132" t="s">
        <v>511</v>
      </c>
      <c r="D1132" s="2">
        <v>2713.02</v>
      </c>
      <c r="E1132">
        <v>7</v>
      </c>
      <c r="F1132">
        <v>0.3</v>
      </c>
      <c r="G1132" t="s">
        <v>14</v>
      </c>
      <c r="H1132" t="s">
        <v>15</v>
      </c>
      <c r="I1132" t="s">
        <v>16</v>
      </c>
      <c r="J1132" s="2">
        <f>Table1_1[[#This Row],[Sales]]-Table1_1[[#This Row],[Sales]]*Table1_1[[#This Row],[Discount]]</f>
        <v>1899.114</v>
      </c>
      <c r="K1132" s="1">
        <v>45422</v>
      </c>
      <c r="L1132" s="11">
        <v>45426</v>
      </c>
      <c r="M1132">
        <f>DATEDIF(Table1_1[[#This Row],[Order Date]],Table1_1[[#This Row],[Ship Date]],"D")</f>
        <v>4</v>
      </c>
    </row>
    <row r="1133" spans="1:13" x14ac:dyDescent="0.35">
      <c r="A1133" t="s">
        <v>1541</v>
      </c>
      <c r="B1133" t="s">
        <v>1398</v>
      </c>
      <c r="C1133" t="s">
        <v>73</v>
      </c>
      <c r="D1133" s="2">
        <v>3385.03</v>
      </c>
      <c r="E1133">
        <v>10</v>
      </c>
      <c r="F1133">
        <v>0</v>
      </c>
      <c r="G1133" t="s">
        <v>19</v>
      </c>
      <c r="H1133" t="s">
        <v>15</v>
      </c>
      <c r="I1133" t="s">
        <v>20</v>
      </c>
      <c r="J1133" s="2">
        <f>Table1_1[[#This Row],[Sales]]-Table1_1[[#This Row],[Sales]]*Table1_1[[#This Row],[Discount]]</f>
        <v>3385.03</v>
      </c>
      <c r="K1133" s="1">
        <v>45345</v>
      </c>
      <c r="L1133" s="11">
        <v>45346</v>
      </c>
      <c r="M1133">
        <f>DATEDIF(Table1_1[[#This Row],[Order Date]],Table1_1[[#This Row],[Ship Date]],"D")</f>
        <v>1</v>
      </c>
    </row>
    <row r="1134" spans="1:13" x14ac:dyDescent="0.35">
      <c r="A1134" t="s">
        <v>1542</v>
      </c>
      <c r="B1134" t="s">
        <v>472</v>
      </c>
      <c r="C1134" t="s">
        <v>278</v>
      </c>
      <c r="D1134" s="2">
        <v>4080.77</v>
      </c>
      <c r="E1134">
        <v>2</v>
      </c>
      <c r="F1134">
        <v>0.2</v>
      </c>
      <c r="G1134" t="s">
        <v>39</v>
      </c>
      <c r="H1134" t="s">
        <v>21</v>
      </c>
      <c r="I1134" t="s">
        <v>20</v>
      </c>
      <c r="J1134" s="2">
        <f>Table1_1[[#This Row],[Sales]]-Table1_1[[#This Row],[Sales]]*Table1_1[[#This Row],[Discount]]</f>
        <v>3264.616</v>
      </c>
      <c r="K1134" s="1">
        <v>45636</v>
      </c>
      <c r="L1134" s="11">
        <v>45638</v>
      </c>
      <c r="M1134">
        <f>DATEDIF(Table1_1[[#This Row],[Order Date]],Table1_1[[#This Row],[Ship Date]],"D")</f>
        <v>2</v>
      </c>
    </row>
    <row r="1135" spans="1:13" x14ac:dyDescent="0.35">
      <c r="A1135" t="s">
        <v>1543</v>
      </c>
      <c r="B1135" t="s">
        <v>250</v>
      </c>
      <c r="C1135" t="s">
        <v>384</v>
      </c>
      <c r="D1135" s="2">
        <v>3487.55</v>
      </c>
      <c r="E1135">
        <v>9</v>
      </c>
      <c r="F1135">
        <v>0</v>
      </c>
      <c r="G1135" t="s">
        <v>39</v>
      </c>
      <c r="H1135" t="s">
        <v>21</v>
      </c>
      <c r="I1135" t="s">
        <v>43</v>
      </c>
      <c r="J1135" s="2">
        <f>Table1_1[[#This Row],[Sales]]-Table1_1[[#This Row],[Sales]]*Table1_1[[#This Row],[Discount]]</f>
        <v>3487.55</v>
      </c>
      <c r="K1135" s="1">
        <v>45784</v>
      </c>
      <c r="L1135" s="11">
        <v>45791</v>
      </c>
      <c r="M1135">
        <f>DATEDIF(Table1_1[[#This Row],[Order Date]],Table1_1[[#This Row],[Ship Date]],"D")</f>
        <v>7</v>
      </c>
    </row>
    <row r="1136" spans="1:13" x14ac:dyDescent="0.35">
      <c r="A1136" t="s">
        <v>1544</v>
      </c>
      <c r="B1136" t="s">
        <v>842</v>
      </c>
      <c r="C1136" t="s">
        <v>624</v>
      </c>
      <c r="D1136" s="2">
        <v>3428.5</v>
      </c>
      <c r="E1136">
        <v>7</v>
      </c>
      <c r="F1136">
        <v>0.3</v>
      </c>
      <c r="G1136" t="s">
        <v>14</v>
      </c>
      <c r="H1136" t="s">
        <v>21</v>
      </c>
      <c r="I1136" t="s">
        <v>43</v>
      </c>
      <c r="J1136" s="2">
        <f>Table1_1[[#This Row],[Sales]]-Table1_1[[#This Row],[Sales]]*Table1_1[[#This Row],[Discount]]</f>
        <v>2399.9499999999998</v>
      </c>
      <c r="K1136" s="1">
        <v>45272</v>
      </c>
      <c r="L1136" s="11">
        <v>45278</v>
      </c>
      <c r="M1136">
        <f>DATEDIF(Table1_1[[#This Row],[Order Date]],Table1_1[[#This Row],[Ship Date]],"D")</f>
        <v>6</v>
      </c>
    </row>
    <row r="1137" spans="1:13" x14ac:dyDescent="0.35">
      <c r="A1137" t="s">
        <v>1545</v>
      </c>
      <c r="B1137" t="s">
        <v>1073</v>
      </c>
      <c r="C1137" t="s">
        <v>359</v>
      </c>
      <c r="D1137" s="2">
        <v>4894.0600000000004</v>
      </c>
      <c r="E1137">
        <v>8</v>
      </c>
      <c r="F1137">
        <v>0.3</v>
      </c>
      <c r="G1137" t="s">
        <v>14</v>
      </c>
      <c r="H1137" t="s">
        <v>15</v>
      </c>
      <c r="I1137" t="s">
        <v>20</v>
      </c>
      <c r="J1137" s="2">
        <f>Table1_1[[#This Row],[Sales]]-Table1_1[[#This Row],[Sales]]*Table1_1[[#This Row],[Discount]]</f>
        <v>3425.8420000000006</v>
      </c>
      <c r="K1137" s="1">
        <v>45043</v>
      </c>
      <c r="L1137" s="11">
        <v>45046</v>
      </c>
      <c r="M1137">
        <f>DATEDIF(Table1_1[[#This Row],[Order Date]],Table1_1[[#This Row],[Ship Date]],"D")</f>
        <v>3</v>
      </c>
    </row>
    <row r="1138" spans="1:13" x14ac:dyDescent="0.35">
      <c r="A1138" t="s">
        <v>1546</v>
      </c>
      <c r="B1138" t="s">
        <v>1382</v>
      </c>
      <c r="C1138" t="s">
        <v>318</v>
      </c>
      <c r="D1138" s="2">
        <v>4467.12</v>
      </c>
      <c r="E1138">
        <v>6</v>
      </c>
      <c r="F1138">
        <v>0</v>
      </c>
      <c r="G1138" t="s">
        <v>14</v>
      </c>
      <c r="H1138" t="s">
        <v>21</v>
      </c>
      <c r="I1138" t="s">
        <v>20</v>
      </c>
      <c r="J1138" s="2">
        <f>Table1_1[[#This Row],[Sales]]-Table1_1[[#This Row],[Sales]]*Table1_1[[#This Row],[Discount]]</f>
        <v>4467.12</v>
      </c>
      <c r="K1138" s="1">
        <v>45152</v>
      </c>
      <c r="L1138" s="11">
        <v>45156</v>
      </c>
      <c r="M1138">
        <f>DATEDIF(Table1_1[[#This Row],[Order Date]],Table1_1[[#This Row],[Ship Date]],"D")</f>
        <v>4</v>
      </c>
    </row>
    <row r="1139" spans="1:13" x14ac:dyDescent="0.35">
      <c r="A1139" t="s">
        <v>1547</v>
      </c>
      <c r="B1139" t="s">
        <v>1073</v>
      </c>
      <c r="C1139" t="s">
        <v>240</v>
      </c>
      <c r="D1139" s="2">
        <v>4995.82</v>
      </c>
      <c r="E1139">
        <v>1</v>
      </c>
      <c r="F1139">
        <v>0.3</v>
      </c>
      <c r="G1139" t="s">
        <v>14</v>
      </c>
      <c r="H1139" t="s">
        <v>21</v>
      </c>
      <c r="I1139" t="s">
        <v>20</v>
      </c>
      <c r="J1139" s="2">
        <f>Table1_1[[#This Row],[Sales]]-Table1_1[[#This Row],[Sales]]*Table1_1[[#This Row],[Discount]]</f>
        <v>3497.0739999999996</v>
      </c>
      <c r="K1139" s="1">
        <v>45608</v>
      </c>
      <c r="L1139" s="11">
        <v>45612</v>
      </c>
      <c r="M1139">
        <f>DATEDIF(Table1_1[[#This Row],[Order Date]],Table1_1[[#This Row],[Ship Date]],"D")</f>
        <v>4</v>
      </c>
    </row>
    <row r="1140" spans="1:13" x14ac:dyDescent="0.35">
      <c r="A1140" t="s">
        <v>1548</v>
      </c>
      <c r="B1140" t="s">
        <v>643</v>
      </c>
      <c r="C1140" t="s">
        <v>436</v>
      </c>
      <c r="D1140" s="2">
        <v>2911.95</v>
      </c>
      <c r="E1140">
        <v>9</v>
      </c>
      <c r="F1140">
        <v>0</v>
      </c>
      <c r="G1140" t="s">
        <v>39</v>
      </c>
      <c r="H1140" t="s">
        <v>15</v>
      </c>
      <c r="I1140" t="s">
        <v>20</v>
      </c>
      <c r="J1140" s="2">
        <f>Table1_1[[#This Row],[Sales]]-Table1_1[[#This Row],[Sales]]*Table1_1[[#This Row],[Discount]]</f>
        <v>2911.95</v>
      </c>
      <c r="K1140" s="1">
        <v>45484</v>
      </c>
      <c r="L1140" s="11">
        <v>45491</v>
      </c>
      <c r="M1140">
        <f>DATEDIF(Table1_1[[#This Row],[Order Date]],Table1_1[[#This Row],[Ship Date]],"D")</f>
        <v>7</v>
      </c>
    </row>
    <row r="1141" spans="1:13" x14ac:dyDescent="0.35">
      <c r="A1141" t="s">
        <v>1549</v>
      </c>
      <c r="B1141" t="s">
        <v>866</v>
      </c>
      <c r="C1141" t="s">
        <v>26</v>
      </c>
      <c r="D1141" s="2">
        <v>681.89</v>
      </c>
      <c r="E1141">
        <v>2</v>
      </c>
      <c r="F1141">
        <v>0</v>
      </c>
      <c r="G1141" t="s">
        <v>19</v>
      </c>
      <c r="H1141" t="s">
        <v>21</v>
      </c>
      <c r="I1141" t="s">
        <v>43</v>
      </c>
      <c r="J1141" s="2">
        <f>Table1_1[[#This Row],[Sales]]-Table1_1[[#This Row],[Sales]]*Table1_1[[#This Row],[Discount]]</f>
        <v>681.89</v>
      </c>
      <c r="K1141" s="1">
        <v>45755</v>
      </c>
      <c r="L1141" s="11">
        <v>45756</v>
      </c>
      <c r="M1141">
        <f>DATEDIF(Table1_1[[#This Row],[Order Date]],Table1_1[[#This Row],[Ship Date]],"D")</f>
        <v>1</v>
      </c>
    </row>
    <row r="1142" spans="1:13" x14ac:dyDescent="0.35">
      <c r="A1142" t="s">
        <v>1550</v>
      </c>
      <c r="B1142" t="s">
        <v>248</v>
      </c>
      <c r="C1142" t="s">
        <v>376</v>
      </c>
      <c r="D1142" s="2">
        <v>3894.93</v>
      </c>
      <c r="E1142">
        <v>9</v>
      </c>
      <c r="F1142">
        <v>0.2</v>
      </c>
      <c r="G1142" t="s">
        <v>14</v>
      </c>
      <c r="H1142" t="s">
        <v>15</v>
      </c>
      <c r="I1142" t="s">
        <v>20</v>
      </c>
      <c r="J1142" s="2">
        <f>Table1_1[[#This Row],[Sales]]-Table1_1[[#This Row],[Sales]]*Table1_1[[#This Row],[Discount]]</f>
        <v>3115.944</v>
      </c>
      <c r="K1142" s="1">
        <v>44998</v>
      </c>
      <c r="L1142" s="11">
        <v>45005</v>
      </c>
      <c r="M1142">
        <f>DATEDIF(Table1_1[[#This Row],[Order Date]],Table1_1[[#This Row],[Ship Date]],"D")</f>
        <v>7</v>
      </c>
    </row>
    <row r="1143" spans="1:13" x14ac:dyDescent="0.35">
      <c r="A1143" t="s">
        <v>1551</v>
      </c>
      <c r="B1143" t="s">
        <v>1355</v>
      </c>
      <c r="C1143" t="s">
        <v>341</v>
      </c>
      <c r="D1143" s="2">
        <v>2424.14</v>
      </c>
      <c r="E1143">
        <v>7</v>
      </c>
      <c r="F1143">
        <v>0.1</v>
      </c>
      <c r="G1143" t="s">
        <v>14</v>
      </c>
      <c r="H1143" t="s">
        <v>21</v>
      </c>
      <c r="I1143" t="s">
        <v>43</v>
      </c>
      <c r="J1143" s="2">
        <f>Table1_1[[#This Row],[Sales]]-Table1_1[[#This Row],[Sales]]*Table1_1[[#This Row],[Discount]]</f>
        <v>2181.7259999999997</v>
      </c>
      <c r="K1143" s="1">
        <v>45316</v>
      </c>
      <c r="L1143" s="11">
        <v>45319</v>
      </c>
      <c r="M1143">
        <f>DATEDIF(Table1_1[[#This Row],[Order Date]],Table1_1[[#This Row],[Ship Date]],"D")</f>
        <v>3</v>
      </c>
    </row>
    <row r="1144" spans="1:13" x14ac:dyDescent="0.35">
      <c r="A1144" t="s">
        <v>1552</v>
      </c>
      <c r="B1144" t="s">
        <v>290</v>
      </c>
      <c r="C1144" t="s">
        <v>190</v>
      </c>
      <c r="D1144" s="2">
        <v>1355.29</v>
      </c>
      <c r="E1144">
        <v>7</v>
      </c>
      <c r="F1144">
        <v>0</v>
      </c>
      <c r="G1144" t="s">
        <v>14</v>
      </c>
      <c r="H1144" t="s">
        <v>21</v>
      </c>
      <c r="I1144" t="s">
        <v>20</v>
      </c>
      <c r="J1144" s="2">
        <f>Table1_1[[#This Row],[Sales]]-Table1_1[[#This Row],[Sales]]*Table1_1[[#This Row],[Discount]]</f>
        <v>1355.29</v>
      </c>
      <c r="K1144" s="1">
        <v>45018</v>
      </c>
      <c r="L1144" s="11">
        <v>45019</v>
      </c>
      <c r="M1144">
        <f>DATEDIF(Table1_1[[#This Row],[Order Date]],Table1_1[[#This Row],[Ship Date]],"D")</f>
        <v>1</v>
      </c>
    </row>
    <row r="1145" spans="1:13" x14ac:dyDescent="0.35">
      <c r="A1145" t="s">
        <v>1553</v>
      </c>
      <c r="B1145" t="s">
        <v>621</v>
      </c>
      <c r="C1145" t="s">
        <v>125</v>
      </c>
      <c r="D1145" s="2">
        <v>159.18</v>
      </c>
      <c r="E1145">
        <v>2</v>
      </c>
      <c r="F1145">
        <v>0.2</v>
      </c>
      <c r="G1145" t="s">
        <v>39</v>
      </c>
      <c r="H1145" t="s">
        <v>21</v>
      </c>
      <c r="I1145" t="s">
        <v>20</v>
      </c>
      <c r="J1145" s="2">
        <f>Table1_1[[#This Row],[Sales]]-Table1_1[[#This Row],[Sales]]*Table1_1[[#This Row],[Discount]]</f>
        <v>127.34400000000001</v>
      </c>
      <c r="K1145" s="1">
        <v>45812</v>
      </c>
      <c r="L1145" s="11">
        <v>45815</v>
      </c>
      <c r="M1145">
        <f>DATEDIF(Table1_1[[#This Row],[Order Date]],Table1_1[[#This Row],[Ship Date]],"D")</f>
        <v>3</v>
      </c>
    </row>
    <row r="1146" spans="1:13" x14ac:dyDescent="0.35">
      <c r="A1146" t="s">
        <v>1554</v>
      </c>
      <c r="B1146" t="s">
        <v>457</v>
      </c>
      <c r="C1146" t="s">
        <v>251</v>
      </c>
      <c r="D1146" s="2">
        <v>3081.61</v>
      </c>
      <c r="E1146">
        <v>1</v>
      </c>
      <c r="F1146">
        <v>0.2</v>
      </c>
      <c r="G1146" t="s">
        <v>14</v>
      </c>
      <c r="H1146" t="s">
        <v>21</v>
      </c>
      <c r="I1146" t="s">
        <v>16</v>
      </c>
      <c r="J1146" s="2">
        <f>Table1_1[[#This Row],[Sales]]-Table1_1[[#This Row],[Sales]]*Table1_1[[#This Row],[Discount]]</f>
        <v>2465.288</v>
      </c>
      <c r="K1146" s="1">
        <v>44993</v>
      </c>
      <c r="L1146" s="11">
        <v>44997</v>
      </c>
      <c r="M1146">
        <f>DATEDIF(Table1_1[[#This Row],[Order Date]],Table1_1[[#This Row],[Ship Date]],"D")</f>
        <v>4</v>
      </c>
    </row>
    <row r="1147" spans="1:13" x14ac:dyDescent="0.35">
      <c r="A1147" t="s">
        <v>1555</v>
      </c>
      <c r="B1147" t="s">
        <v>242</v>
      </c>
      <c r="C1147" t="s">
        <v>108</v>
      </c>
      <c r="D1147" s="2">
        <v>2309.85</v>
      </c>
      <c r="E1147">
        <v>1</v>
      </c>
      <c r="F1147">
        <v>0.2</v>
      </c>
      <c r="G1147" t="s">
        <v>14</v>
      </c>
      <c r="H1147" t="s">
        <v>21</v>
      </c>
      <c r="I1147" t="s">
        <v>20</v>
      </c>
      <c r="J1147" s="2">
        <f>Table1_1[[#This Row],[Sales]]-Table1_1[[#This Row],[Sales]]*Table1_1[[#This Row],[Discount]]</f>
        <v>1847.8799999999999</v>
      </c>
      <c r="K1147" s="1">
        <v>45249</v>
      </c>
      <c r="L1147" s="11">
        <v>45253</v>
      </c>
      <c r="M1147">
        <f>DATEDIF(Table1_1[[#This Row],[Order Date]],Table1_1[[#This Row],[Ship Date]],"D")</f>
        <v>4</v>
      </c>
    </row>
    <row r="1148" spans="1:13" x14ac:dyDescent="0.35">
      <c r="A1148" t="s">
        <v>1556</v>
      </c>
      <c r="B1148" t="s">
        <v>447</v>
      </c>
      <c r="C1148" t="s">
        <v>285</v>
      </c>
      <c r="D1148" s="2">
        <v>3613.71</v>
      </c>
      <c r="E1148">
        <v>8</v>
      </c>
      <c r="F1148">
        <v>0.2</v>
      </c>
      <c r="G1148" t="s">
        <v>14</v>
      </c>
      <c r="H1148" t="s">
        <v>21</v>
      </c>
      <c r="I1148" t="s">
        <v>43</v>
      </c>
      <c r="J1148" s="2">
        <f>Table1_1[[#This Row],[Sales]]-Table1_1[[#This Row],[Sales]]*Table1_1[[#This Row],[Discount]]</f>
        <v>2890.9679999999998</v>
      </c>
      <c r="K1148" s="1">
        <v>45596</v>
      </c>
      <c r="L1148" s="11">
        <v>45603</v>
      </c>
      <c r="M1148">
        <f>DATEDIF(Table1_1[[#This Row],[Order Date]],Table1_1[[#This Row],[Ship Date]],"D")</f>
        <v>7</v>
      </c>
    </row>
    <row r="1149" spans="1:13" x14ac:dyDescent="0.35">
      <c r="A1149" t="s">
        <v>1557</v>
      </c>
      <c r="B1149" t="s">
        <v>1257</v>
      </c>
      <c r="C1149" t="s">
        <v>91</v>
      </c>
      <c r="D1149" s="2">
        <v>4044.14</v>
      </c>
      <c r="E1149">
        <v>5</v>
      </c>
      <c r="F1149">
        <v>0.1</v>
      </c>
      <c r="G1149" t="s">
        <v>14</v>
      </c>
      <c r="H1149" t="s">
        <v>21</v>
      </c>
      <c r="I1149" t="s">
        <v>43</v>
      </c>
      <c r="J1149" s="2">
        <f>Table1_1[[#This Row],[Sales]]-Table1_1[[#This Row],[Sales]]*Table1_1[[#This Row],[Discount]]</f>
        <v>3639.7259999999997</v>
      </c>
      <c r="K1149" s="1">
        <v>45505</v>
      </c>
      <c r="L1149" s="11">
        <v>45512</v>
      </c>
      <c r="M1149">
        <f>DATEDIF(Table1_1[[#This Row],[Order Date]],Table1_1[[#This Row],[Ship Date]],"D")</f>
        <v>7</v>
      </c>
    </row>
    <row r="1150" spans="1:13" x14ac:dyDescent="0.35">
      <c r="A1150" t="s">
        <v>1558</v>
      </c>
      <c r="B1150" t="s">
        <v>767</v>
      </c>
      <c r="C1150" t="s">
        <v>57</v>
      </c>
      <c r="D1150" s="2">
        <v>4849.0200000000004</v>
      </c>
      <c r="E1150">
        <v>9</v>
      </c>
      <c r="F1150">
        <v>0.3</v>
      </c>
      <c r="G1150" t="s">
        <v>39</v>
      </c>
      <c r="H1150" t="s">
        <v>21</v>
      </c>
      <c r="I1150" t="s">
        <v>20</v>
      </c>
      <c r="J1150" s="2">
        <f>Table1_1[[#This Row],[Sales]]-Table1_1[[#This Row],[Sales]]*Table1_1[[#This Row],[Discount]]</f>
        <v>3394.3140000000003</v>
      </c>
      <c r="K1150" s="1">
        <v>45158</v>
      </c>
      <c r="L1150" s="11">
        <v>45160</v>
      </c>
      <c r="M1150">
        <f>DATEDIF(Table1_1[[#This Row],[Order Date]],Table1_1[[#This Row],[Ship Date]],"D")</f>
        <v>2</v>
      </c>
    </row>
    <row r="1151" spans="1:13" x14ac:dyDescent="0.35">
      <c r="A1151" t="s">
        <v>1559</v>
      </c>
      <c r="B1151" t="s">
        <v>679</v>
      </c>
      <c r="C1151" t="s">
        <v>57</v>
      </c>
      <c r="D1151" s="2">
        <v>2514.42</v>
      </c>
      <c r="E1151">
        <v>2</v>
      </c>
      <c r="F1151">
        <v>0.3</v>
      </c>
      <c r="G1151" t="s">
        <v>39</v>
      </c>
      <c r="H1151" t="s">
        <v>21</v>
      </c>
      <c r="I1151" t="s">
        <v>20</v>
      </c>
      <c r="J1151" s="2">
        <f>Table1_1[[#This Row],[Sales]]-Table1_1[[#This Row],[Sales]]*Table1_1[[#This Row],[Discount]]</f>
        <v>1760.0940000000001</v>
      </c>
      <c r="K1151" s="1">
        <v>45017</v>
      </c>
      <c r="L1151" s="11">
        <v>45019</v>
      </c>
      <c r="M1151">
        <f>DATEDIF(Table1_1[[#This Row],[Order Date]],Table1_1[[#This Row],[Ship Date]],"D")</f>
        <v>2</v>
      </c>
    </row>
    <row r="1152" spans="1:13" x14ac:dyDescent="0.35">
      <c r="A1152" t="s">
        <v>1560</v>
      </c>
      <c r="B1152" t="s">
        <v>79</v>
      </c>
      <c r="C1152" t="s">
        <v>542</v>
      </c>
      <c r="D1152" s="2">
        <v>1434.33</v>
      </c>
      <c r="E1152">
        <v>5</v>
      </c>
      <c r="F1152">
        <v>0.1</v>
      </c>
      <c r="G1152" t="s">
        <v>39</v>
      </c>
      <c r="H1152" t="s">
        <v>15</v>
      </c>
      <c r="I1152" t="s">
        <v>20</v>
      </c>
      <c r="J1152" s="2">
        <f>Table1_1[[#This Row],[Sales]]-Table1_1[[#This Row],[Sales]]*Table1_1[[#This Row],[Discount]]</f>
        <v>1290.8969999999999</v>
      </c>
      <c r="K1152" s="1">
        <v>45664</v>
      </c>
      <c r="L1152" s="11">
        <v>45668</v>
      </c>
      <c r="M1152">
        <f>DATEDIF(Table1_1[[#This Row],[Order Date]],Table1_1[[#This Row],[Ship Date]],"D")</f>
        <v>4</v>
      </c>
    </row>
    <row r="1153" spans="1:13" x14ac:dyDescent="0.35">
      <c r="A1153" t="s">
        <v>1561</v>
      </c>
      <c r="B1153" t="s">
        <v>213</v>
      </c>
      <c r="C1153" t="s">
        <v>243</v>
      </c>
      <c r="D1153" s="2">
        <v>750.29</v>
      </c>
      <c r="E1153">
        <v>7</v>
      </c>
      <c r="F1153">
        <v>0.1</v>
      </c>
      <c r="G1153" t="s">
        <v>14</v>
      </c>
      <c r="H1153" t="s">
        <v>21</v>
      </c>
      <c r="I1153" t="s">
        <v>20</v>
      </c>
      <c r="J1153" s="2">
        <f>Table1_1[[#This Row],[Sales]]-Table1_1[[#This Row],[Sales]]*Table1_1[[#This Row],[Discount]]</f>
        <v>675.26099999999997</v>
      </c>
      <c r="K1153" s="1">
        <v>45803</v>
      </c>
      <c r="L1153" s="11">
        <v>45806</v>
      </c>
      <c r="M1153">
        <f>DATEDIF(Table1_1[[#This Row],[Order Date]],Table1_1[[#This Row],[Ship Date]],"D")</f>
        <v>3</v>
      </c>
    </row>
    <row r="1154" spans="1:13" x14ac:dyDescent="0.35">
      <c r="A1154" t="s">
        <v>1562</v>
      </c>
      <c r="B1154" t="s">
        <v>1042</v>
      </c>
      <c r="C1154" t="s">
        <v>57</v>
      </c>
      <c r="D1154" s="2">
        <v>1891.6</v>
      </c>
      <c r="E1154">
        <v>1</v>
      </c>
      <c r="F1154">
        <v>0.2</v>
      </c>
      <c r="G1154" t="s">
        <v>14</v>
      </c>
      <c r="H1154" t="s">
        <v>21</v>
      </c>
      <c r="I1154" t="s">
        <v>43</v>
      </c>
      <c r="J1154" s="2">
        <f>Table1_1[[#This Row],[Sales]]-Table1_1[[#This Row],[Sales]]*Table1_1[[#This Row],[Discount]]</f>
        <v>1513.28</v>
      </c>
      <c r="K1154" s="1">
        <v>45733</v>
      </c>
      <c r="L1154" s="11">
        <v>45738</v>
      </c>
      <c r="M1154">
        <f>DATEDIF(Table1_1[[#This Row],[Order Date]],Table1_1[[#This Row],[Ship Date]],"D")</f>
        <v>5</v>
      </c>
    </row>
    <row r="1155" spans="1:13" x14ac:dyDescent="0.35">
      <c r="A1155" t="s">
        <v>1563</v>
      </c>
      <c r="B1155" t="s">
        <v>236</v>
      </c>
      <c r="C1155" t="s">
        <v>82</v>
      </c>
      <c r="D1155" s="2">
        <v>1522.82</v>
      </c>
      <c r="E1155">
        <v>1</v>
      </c>
      <c r="F1155">
        <v>0.1</v>
      </c>
      <c r="G1155" t="s">
        <v>14</v>
      </c>
      <c r="H1155" t="s">
        <v>21</v>
      </c>
      <c r="I1155" t="s">
        <v>43</v>
      </c>
      <c r="J1155" s="2">
        <f>Table1_1[[#This Row],[Sales]]-Table1_1[[#This Row],[Sales]]*Table1_1[[#This Row],[Discount]]</f>
        <v>1370.538</v>
      </c>
      <c r="K1155" s="1">
        <v>45717</v>
      </c>
      <c r="L1155" s="11">
        <v>45724</v>
      </c>
      <c r="M1155">
        <f>DATEDIF(Table1_1[[#This Row],[Order Date]],Table1_1[[#This Row],[Ship Date]],"D")</f>
        <v>7</v>
      </c>
    </row>
    <row r="1156" spans="1:13" x14ac:dyDescent="0.35">
      <c r="A1156" t="s">
        <v>1564</v>
      </c>
      <c r="B1156" t="s">
        <v>1565</v>
      </c>
      <c r="C1156" t="s">
        <v>259</v>
      </c>
      <c r="D1156" s="2">
        <v>2158.73</v>
      </c>
      <c r="E1156">
        <v>5</v>
      </c>
      <c r="F1156">
        <v>0.1</v>
      </c>
      <c r="G1156" t="s">
        <v>14</v>
      </c>
      <c r="H1156" t="s">
        <v>21</v>
      </c>
      <c r="I1156" t="s">
        <v>43</v>
      </c>
      <c r="J1156" s="2">
        <f>Table1_1[[#This Row],[Sales]]-Table1_1[[#This Row],[Sales]]*Table1_1[[#This Row],[Discount]]</f>
        <v>1942.857</v>
      </c>
      <c r="K1156" s="1">
        <v>44937</v>
      </c>
      <c r="L1156" s="11">
        <v>44939</v>
      </c>
      <c r="M1156">
        <f>DATEDIF(Table1_1[[#This Row],[Order Date]],Table1_1[[#This Row],[Ship Date]],"D")</f>
        <v>2</v>
      </c>
    </row>
    <row r="1157" spans="1:13" x14ac:dyDescent="0.35">
      <c r="A1157" t="s">
        <v>1566</v>
      </c>
      <c r="B1157" t="s">
        <v>977</v>
      </c>
      <c r="C1157" t="s">
        <v>26</v>
      </c>
      <c r="D1157" s="2">
        <v>673.53</v>
      </c>
      <c r="E1157">
        <v>3</v>
      </c>
      <c r="F1157">
        <v>0.2</v>
      </c>
      <c r="G1157" t="s">
        <v>39</v>
      </c>
      <c r="H1157" t="s">
        <v>21</v>
      </c>
      <c r="I1157" t="s">
        <v>43</v>
      </c>
      <c r="J1157" s="2">
        <f>Table1_1[[#This Row],[Sales]]-Table1_1[[#This Row],[Sales]]*Table1_1[[#This Row],[Discount]]</f>
        <v>538.82399999999996</v>
      </c>
      <c r="K1157" s="1">
        <v>44977</v>
      </c>
      <c r="L1157" s="11">
        <v>44979</v>
      </c>
      <c r="M1157">
        <f>DATEDIF(Table1_1[[#This Row],[Order Date]],Table1_1[[#This Row],[Ship Date]],"D")</f>
        <v>2</v>
      </c>
    </row>
    <row r="1158" spans="1:13" x14ac:dyDescent="0.35">
      <c r="A1158" t="s">
        <v>1567</v>
      </c>
      <c r="B1158" t="s">
        <v>242</v>
      </c>
      <c r="C1158" t="s">
        <v>359</v>
      </c>
      <c r="D1158" s="2">
        <v>870.1</v>
      </c>
      <c r="E1158">
        <v>10</v>
      </c>
      <c r="F1158">
        <v>0.2</v>
      </c>
      <c r="G1158" t="s">
        <v>39</v>
      </c>
      <c r="H1158" t="s">
        <v>15</v>
      </c>
      <c r="I1158" t="s">
        <v>16</v>
      </c>
      <c r="J1158" s="2">
        <f>Table1_1[[#This Row],[Sales]]-Table1_1[[#This Row],[Sales]]*Table1_1[[#This Row],[Discount]]</f>
        <v>696.08</v>
      </c>
      <c r="K1158" s="1">
        <v>45077</v>
      </c>
      <c r="L1158" s="11">
        <v>45083</v>
      </c>
      <c r="M1158">
        <f>DATEDIF(Table1_1[[#This Row],[Order Date]],Table1_1[[#This Row],[Ship Date]],"D")</f>
        <v>6</v>
      </c>
    </row>
    <row r="1159" spans="1:13" x14ac:dyDescent="0.35">
      <c r="A1159" t="s">
        <v>1568</v>
      </c>
      <c r="B1159" t="s">
        <v>998</v>
      </c>
      <c r="C1159" t="s">
        <v>190</v>
      </c>
      <c r="D1159" s="2">
        <v>4755.42</v>
      </c>
      <c r="E1159">
        <v>10</v>
      </c>
      <c r="F1159">
        <v>0.1</v>
      </c>
      <c r="G1159" t="s">
        <v>14</v>
      </c>
      <c r="H1159" t="s">
        <v>21</v>
      </c>
      <c r="I1159" t="s">
        <v>16</v>
      </c>
      <c r="J1159" s="2">
        <f>Table1_1[[#This Row],[Sales]]-Table1_1[[#This Row],[Sales]]*Table1_1[[#This Row],[Discount]]</f>
        <v>4279.8779999999997</v>
      </c>
      <c r="K1159" s="1">
        <v>45174</v>
      </c>
      <c r="L1159" s="11">
        <v>45181</v>
      </c>
      <c r="M1159">
        <f>DATEDIF(Table1_1[[#This Row],[Order Date]],Table1_1[[#This Row],[Ship Date]],"D")</f>
        <v>7</v>
      </c>
    </row>
    <row r="1160" spans="1:13" x14ac:dyDescent="0.35">
      <c r="A1160" t="s">
        <v>1569</v>
      </c>
      <c r="B1160" t="s">
        <v>514</v>
      </c>
      <c r="C1160" t="s">
        <v>234</v>
      </c>
      <c r="D1160" s="2">
        <v>3443.56</v>
      </c>
      <c r="E1160">
        <v>2</v>
      </c>
      <c r="F1160">
        <v>0.1</v>
      </c>
      <c r="G1160" t="s">
        <v>14</v>
      </c>
      <c r="H1160" t="s">
        <v>21</v>
      </c>
      <c r="I1160" t="s">
        <v>20</v>
      </c>
      <c r="J1160" s="2">
        <f>Table1_1[[#This Row],[Sales]]-Table1_1[[#This Row],[Sales]]*Table1_1[[#This Row],[Discount]]</f>
        <v>3099.2039999999997</v>
      </c>
      <c r="K1160" s="1">
        <v>44970</v>
      </c>
      <c r="L1160" s="11">
        <v>44977</v>
      </c>
      <c r="M1160">
        <f>DATEDIF(Table1_1[[#This Row],[Order Date]],Table1_1[[#This Row],[Ship Date]],"D")</f>
        <v>7</v>
      </c>
    </row>
    <row r="1161" spans="1:13" x14ac:dyDescent="0.35">
      <c r="A1161" t="s">
        <v>1570</v>
      </c>
      <c r="B1161" t="s">
        <v>171</v>
      </c>
      <c r="C1161" t="s">
        <v>46</v>
      </c>
      <c r="D1161" s="2">
        <v>3621.21</v>
      </c>
      <c r="E1161">
        <v>4</v>
      </c>
      <c r="F1161">
        <v>0</v>
      </c>
      <c r="G1161" t="s">
        <v>14</v>
      </c>
      <c r="H1161" t="s">
        <v>15</v>
      </c>
      <c r="I1161" t="s">
        <v>43</v>
      </c>
      <c r="J1161" s="2">
        <f>Table1_1[[#This Row],[Sales]]-Table1_1[[#This Row],[Sales]]*Table1_1[[#This Row],[Discount]]</f>
        <v>3621.21</v>
      </c>
      <c r="K1161" s="1">
        <v>45217</v>
      </c>
      <c r="L1161" s="11">
        <v>45219</v>
      </c>
      <c r="M1161">
        <f>DATEDIF(Table1_1[[#This Row],[Order Date]],Table1_1[[#This Row],[Ship Date]],"D")</f>
        <v>2</v>
      </c>
    </row>
    <row r="1162" spans="1:13" x14ac:dyDescent="0.35">
      <c r="A1162" t="s">
        <v>1571</v>
      </c>
      <c r="B1162" t="s">
        <v>796</v>
      </c>
      <c r="C1162" t="s">
        <v>662</v>
      </c>
      <c r="D1162" s="2">
        <v>2435.3200000000002</v>
      </c>
      <c r="E1162">
        <v>4</v>
      </c>
      <c r="F1162">
        <v>0.2</v>
      </c>
      <c r="G1162" t="s">
        <v>19</v>
      </c>
      <c r="H1162" t="s">
        <v>15</v>
      </c>
      <c r="I1162" t="s">
        <v>16</v>
      </c>
      <c r="J1162" s="2">
        <f>Table1_1[[#This Row],[Sales]]-Table1_1[[#This Row],[Sales]]*Table1_1[[#This Row],[Discount]]</f>
        <v>1948.2560000000001</v>
      </c>
      <c r="K1162" s="1">
        <v>45098</v>
      </c>
      <c r="L1162" s="11">
        <v>45100</v>
      </c>
      <c r="M1162">
        <f>DATEDIF(Table1_1[[#This Row],[Order Date]],Table1_1[[#This Row],[Ship Date]],"D")</f>
        <v>2</v>
      </c>
    </row>
    <row r="1163" spans="1:13" x14ac:dyDescent="0.35">
      <c r="A1163" t="s">
        <v>1572</v>
      </c>
      <c r="B1163" t="s">
        <v>801</v>
      </c>
      <c r="C1163" t="s">
        <v>91</v>
      </c>
      <c r="D1163" s="2">
        <v>4960.49</v>
      </c>
      <c r="E1163">
        <v>7</v>
      </c>
      <c r="F1163">
        <v>0.3</v>
      </c>
      <c r="G1163" t="s">
        <v>14</v>
      </c>
      <c r="H1163" t="s">
        <v>15</v>
      </c>
      <c r="I1163" t="s">
        <v>43</v>
      </c>
      <c r="J1163" s="2">
        <f>Table1_1[[#This Row],[Sales]]-Table1_1[[#This Row],[Sales]]*Table1_1[[#This Row],[Discount]]</f>
        <v>3472.3429999999998</v>
      </c>
      <c r="K1163" s="1">
        <v>45087</v>
      </c>
      <c r="L1163" s="11">
        <v>45092</v>
      </c>
      <c r="M1163">
        <f>DATEDIF(Table1_1[[#This Row],[Order Date]],Table1_1[[#This Row],[Ship Date]],"D")</f>
        <v>5</v>
      </c>
    </row>
    <row r="1164" spans="1:13" x14ac:dyDescent="0.35">
      <c r="A1164" t="s">
        <v>1573</v>
      </c>
      <c r="B1164" t="s">
        <v>187</v>
      </c>
      <c r="C1164" t="s">
        <v>911</v>
      </c>
      <c r="D1164" s="2">
        <v>154.78</v>
      </c>
      <c r="E1164">
        <v>7</v>
      </c>
      <c r="F1164">
        <v>0.3</v>
      </c>
      <c r="G1164" t="s">
        <v>14</v>
      </c>
      <c r="H1164" t="s">
        <v>21</v>
      </c>
      <c r="I1164" t="s">
        <v>20</v>
      </c>
      <c r="J1164" s="2">
        <f>Table1_1[[#This Row],[Sales]]-Table1_1[[#This Row],[Sales]]*Table1_1[[#This Row],[Discount]]</f>
        <v>108.346</v>
      </c>
      <c r="K1164" s="1">
        <v>45576</v>
      </c>
      <c r="L1164" s="11">
        <v>45577</v>
      </c>
      <c r="M1164">
        <f>DATEDIF(Table1_1[[#This Row],[Order Date]],Table1_1[[#This Row],[Ship Date]],"D")</f>
        <v>1</v>
      </c>
    </row>
    <row r="1165" spans="1:13" x14ac:dyDescent="0.35">
      <c r="A1165" t="s">
        <v>1574</v>
      </c>
      <c r="B1165" t="s">
        <v>38</v>
      </c>
      <c r="C1165" t="s">
        <v>220</v>
      </c>
      <c r="D1165" s="2">
        <v>1331.09</v>
      </c>
      <c r="E1165">
        <v>8</v>
      </c>
      <c r="F1165">
        <v>0.2</v>
      </c>
      <c r="G1165" t="s">
        <v>14</v>
      </c>
      <c r="H1165" t="s">
        <v>15</v>
      </c>
      <c r="I1165" t="s">
        <v>20</v>
      </c>
      <c r="J1165" s="2">
        <f>Table1_1[[#This Row],[Sales]]-Table1_1[[#This Row],[Sales]]*Table1_1[[#This Row],[Discount]]</f>
        <v>1064.8719999999998</v>
      </c>
      <c r="K1165" s="1">
        <v>44968</v>
      </c>
      <c r="L1165" s="11">
        <v>44973</v>
      </c>
      <c r="M1165">
        <f>DATEDIF(Table1_1[[#This Row],[Order Date]],Table1_1[[#This Row],[Ship Date]],"D")</f>
        <v>5</v>
      </c>
    </row>
    <row r="1166" spans="1:13" x14ac:dyDescent="0.35">
      <c r="A1166" t="s">
        <v>1575</v>
      </c>
      <c r="B1166" t="s">
        <v>933</v>
      </c>
      <c r="C1166" t="s">
        <v>293</v>
      </c>
      <c r="D1166" s="2">
        <v>566.09</v>
      </c>
      <c r="E1166">
        <v>8</v>
      </c>
      <c r="F1166">
        <v>0.1</v>
      </c>
      <c r="G1166" t="s">
        <v>19</v>
      </c>
      <c r="H1166" t="s">
        <v>21</v>
      </c>
      <c r="I1166" t="s">
        <v>43</v>
      </c>
      <c r="J1166" s="2">
        <f>Table1_1[[#This Row],[Sales]]-Table1_1[[#This Row],[Sales]]*Table1_1[[#This Row],[Discount]]</f>
        <v>509.48099999999999</v>
      </c>
      <c r="K1166" s="1">
        <v>45721</v>
      </c>
      <c r="L1166" s="11">
        <v>45724</v>
      </c>
      <c r="M1166">
        <f>DATEDIF(Table1_1[[#This Row],[Order Date]],Table1_1[[#This Row],[Ship Date]],"D")</f>
        <v>3</v>
      </c>
    </row>
    <row r="1167" spans="1:13" x14ac:dyDescent="0.35">
      <c r="A1167" t="s">
        <v>1576</v>
      </c>
      <c r="B1167" t="s">
        <v>971</v>
      </c>
      <c r="C1167" t="s">
        <v>220</v>
      </c>
      <c r="D1167" s="2">
        <v>664.66</v>
      </c>
      <c r="E1167">
        <v>6</v>
      </c>
      <c r="F1167">
        <v>0.1</v>
      </c>
      <c r="G1167" t="s">
        <v>14</v>
      </c>
      <c r="H1167" t="s">
        <v>21</v>
      </c>
      <c r="I1167" t="s">
        <v>43</v>
      </c>
      <c r="J1167" s="2">
        <f>Table1_1[[#This Row],[Sales]]-Table1_1[[#This Row],[Sales]]*Table1_1[[#This Row],[Discount]]</f>
        <v>598.19399999999996</v>
      </c>
      <c r="K1167" s="1">
        <v>45254</v>
      </c>
      <c r="L1167" s="11">
        <v>45256</v>
      </c>
      <c r="M1167">
        <f>DATEDIF(Table1_1[[#This Row],[Order Date]],Table1_1[[#This Row],[Ship Date]],"D")</f>
        <v>2</v>
      </c>
    </row>
    <row r="1168" spans="1:13" x14ac:dyDescent="0.35">
      <c r="A1168" t="s">
        <v>1577</v>
      </c>
      <c r="B1168" t="s">
        <v>1257</v>
      </c>
      <c r="C1168" t="s">
        <v>60</v>
      </c>
      <c r="D1168" s="2">
        <v>1569.56</v>
      </c>
      <c r="E1168">
        <v>7</v>
      </c>
      <c r="F1168">
        <v>0.2</v>
      </c>
      <c r="G1168" t="s">
        <v>19</v>
      </c>
      <c r="H1168" t="s">
        <v>21</v>
      </c>
      <c r="I1168" t="s">
        <v>43</v>
      </c>
      <c r="J1168" s="2">
        <f>Table1_1[[#This Row],[Sales]]-Table1_1[[#This Row],[Sales]]*Table1_1[[#This Row],[Discount]]</f>
        <v>1255.6479999999999</v>
      </c>
      <c r="K1168" s="1">
        <v>45331</v>
      </c>
      <c r="L1168" s="11">
        <v>45333</v>
      </c>
      <c r="M1168">
        <f>DATEDIF(Table1_1[[#This Row],[Order Date]],Table1_1[[#This Row],[Ship Date]],"D")</f>
        <v>2</v>
      </c>
    </row>
    <row r="1169" spans="1:13" x14ac:dyDescent="0.35">
      <c r="A1169" t="s">
        <v>1578</v>
      </c>
      <c r="B1169" t="s">
        <v>434</v>
      </c>
      <c r="C1169" t="s">
        <v>94</v>
      </c>
      <c r="D1169" s="2">
        <v>4206.55</v>
      </c>
      <c r="E1169">
        <v>9</v>
      </c>
      <c r="F1169">
        <v>0.3</v>
      </c>
      <c r="G1169" t="s">
        <v>39</v>
      </c>
      <c r="H1169" t="s">
        <v>15</v>
      </c>
      <c r="I1169" t="s">
        <v>16</v>
      </c>
      <c r="J1169" s="2">
        <f>Table1_1[[#This Row],[Sales]]-Table1_1[[#This Row],[Sales]]*Table1_1[[#This Row],[Discount]]</f>
        <v>2944.585</v>
      </c>
      <c r="K1169" s="1">
        <v>45743</v>
      </c>
      <c r="L1169" s="11">
        <v>45746</v>
      </c>
      <c r="M1169">
        <f>DATEDIF(Table1_1[[#This Row],[Order Date]],Table1_1[[#This Row],[Ship Date]],"D")</f>
        <v>3</v>
      </c>
    </row>
    <row r="1170" spans="1:13" x14ac:dyDescent="0.35">
      <c r="A1170" t="s">
        <v>1579</v>
      </c>
      <c r="B1170" t="s">
        <v>702</v>
      </c>
      <c r="C1170" t="s">
        <v>359</v>
      </c>
      <c r="D1170" s="2">
        <v>2621.31</v>
      </c>
      <c r="E1170">
        <v>4</v>
      </c>
      <c r="F1170">
        <v>0</v>
      </c>
      <c r="G1170" t="s">
        <v>39</v>
      </c>
      <c r="H1170" t="s">
        <v>21</v>
      </c>
      <c r="I1170" t="s">
        <v>43</v>
      </c>
      <c r="J1170" s="2">
        <f>Table1_1[[#This Row],[Sales]]-Table1_1[[#This Row],[Sales]]*Table1_1[[#This Row],[Discount]]</f>
        <v>2621.31</v>
      </c>
      <c r="K1170" s="1">
        <v>45658</v>
      </c>
      <c r="L1170" s="11">
        <v>45659</v>
      </c>
      <c r="M1170">
        <f>DATEDIF(Table1_1[[#This Row],[Order Date]],Table1_1[[#This Row],[Ship Date]],"D")</f>
        <v>1</v>
      </c>
    </row>
    <row r="1171" spans="1:13" x14ac:dyDescent="0.35">
      <c r="A1171" t="s">
        <v>1580</v>
      </c>
      <c r="B1171" t="s">
        <v>791</v>
      </c>
      <c r="C1171" t="s">
        <v>624</v>
      </c>
      <c r="D1171" s="2">
        <v>1436.46</v>
      </c>
      <c r="E1171">
        <v>1</v>
      </c>
      <c r="F1171">
        <v>0.3</v>
      </c>
      <c r="G1171" t="s">
        <v>14</v>
      </c>
      <c r="H1171" t="s">
        <v>21</v>
      </c>
      <c r="I1171" t="s">
        <v>20</v>
      </c>
      <c r="J1171" s="2">
        <f>Table1_1[[#This Row],[Sales]]-Table1_1[[#This Row],[Sales]]*Table1_1[[#This Row],[Discount]]</f>
        <v>1005.522</v>
      </c>
      <c r="K1171" s="1">
        <v>45571</v>
      </c>
      <c r="L1171" s="11">
        <v>45576</v>
      </c>
      <c r="M1171">
        <f>DATEDIF(Table1_1[[#This Row],[Order Date]],Table1_1[[#This Row],[Ship Date]],"D")</f>
        <v>5</v>
      </c>
    </row>
    <row r="1172" spans="1:13" x14ac:dyDescent="0.35">
      <c r="A1172" t="s">
        <v>1581</v>
      </c>
      <c r="B1172" t="s">
        <v>438</v>
      </c>
      <c r="C1172" t="s">
        <v>285</v>
      </c>
      <c r="D1172" s="2">
        <v>3421.77</v>
      </c>
      <c r="E1172">
        <v>8</v>
      </c>
      <c r="F1172">
        <v>0.2</v>
      </c>
      <c r="G1172" t="s">
        <v>19</v>
      </c>
      <c r="H1172" t="s">
        <v>15</v>
      </c>
      <c r="I1172" t="s">
        <v>16</v>
      </c>
      <c r="J1172" s="2">
        <f>Table1_1[[#This Row],[Sales]]-Table1_1[[#This Row],[Sales]]*Table1_1[[#This Row],[Discount]]</f>
        <v>2737.4160000000002</v>
      </c>
      <c r="K1172" s="1">
        <v>44971</v>
      </c>
      <c r="L1172" s="11">
        <v>44977</v>
      </c>
      <c r="M1172">
        <f>DATEDIF(Table1_1[[#This Row],[Order Date]],Table1_1[[#This Row],[Ship Date]],"D")</f>
        <v>6</v>
      </c>
    </row>
    <row r="1173" spans="1:13" x14ac:dyDescent="0.35">
      <c r="A1173" t="s">
        <v>1582</v>
      </c>
      <c r="B1173" t="s">
        <v>261</v>
      </c>
      <c r="C1173" t="s">
        <v>146</v>
      </c>
      <c r="D1173" s="2">
        <v>2354</v>
      </c>
      <c r="E1173">
        <v>3</v>
      </c>
      <c r="F1173">
        <v>0.3</v>
      </c>
      <c r="G1173" t="s">
        <v>19</v>
      </c>
      <c r="H1173" t="s">
        <v>15</v>
      </c>
      <c r="I1173" t="s">
        <v>43</v>
      </c>
      <c r="J1173" s="2">
        <f>Table1_1[[#This Row],[Sales]]-Table1_1[[#This Row],[Sales]]*Table1_1[[#This Row],[Discount]]</f>
        <v>1647.8000000000002</v>
      </c>
      <c r="K1173" s="1">
        <v>45709</v>
      </c>
      <c r="L1173" s="11">
        <v>45716</v>
      </c>
      <c r="M1173">
        <f>DATEDIF(Table1_1[[#This Row],[Order Date]],Table1_1[[#This Row],[Ship Date]],"D")</f>
        <v>7</v>
      </c>
    </row>
    <row r="1174" spans="1:13" x14ac:dyDescent="0.35">
      <c r="A1174" t="s">
        <v>1583</v>
      </c>
      <c r="B1174" t="s">
        <v>391</v>
      </c>
      <c r="C1174" t="s">
        <v>293</v>
      </c>
      <c r="D1174" s="2">
        <v>1218.22</v>
      </c>
      <c r="E1174">
        <v>3</v>
      </c>
      <c r="F1174">
        <v>0.2</v>
      </c>
      <c r="G1174" t="s">
        <v>39</v>
      </c>
      <c r="H1174" t="s">
        <v>21</v>
      </c>
      <c r="I1174" t="s">
        <v>20</v>
      </c>
      <c r="J1174" s="2">
        <f>Table1_1[[#This Row],[Sales]]-Table1_1[[#This Row],[Sales]]*Table1_1[[#This Row],[Discount]]</f>
        <v>974.57600000000002</v>
      </c>
      <c r="K1174" s="1">
        <v>45230</v>
      </c>
      <c r="L1174" s="11">
        <v>45235</v>
      </c>
      <c r="M1174">
        <f>DATEDIF(Table1_1[[#This Row],[Order Date]],Table1_1[[#This Row],[Ship Date]],"D")</f>
        <v>5</v>
      </c>
    </row>
    <row r="1175" spans="1:13" x14ac:dyDescent="0.35">
      <c r="A1175" t="s">
        <v>1584</v>
      </c>
      <c r="B1175" t="s">
        <v>609</v>
      </c>
      <c r="C1175" t="s">
        <v>234</v>
      </c>
      <c r="D1175" s="2">
        <v>4712.74</v>
      </c>
      <c r="E1175">
        <v>6</v>
      </c>
      <c r="F1175">
        <v>0.3</v>
      </c>
      <c r="G1175" t="s">
        <v>14</v>
      </c>
      <c r="H1175" t="s">
        <v>15</v>
      </c>
      <c r="I1175" t="s">
        <v>43</v>
      </c>
      <c r="J1175" s="2">
        <f>Table1_1[[#This Row],[Sales]]-Table1_1[[#This Row],[Sales]]*Table1_1[[#This Row],[Discount]]</f>
        <v>3298.9179999999997</v>
      </c>
      <c r="K1175" s="1">
        <v>45817</v>
      </c>
      <c r="L1175" s="11">
        <v>45820</v>
      </c>
      <c r="M1175">
        <f>DATEDIF(Table1_1[[#This Row],[Order Date]],Table1_1[[#This Row],[Ship Date]],"D")</f>
        <v>3</v>
      </c>
    </row>
    <row r="1176" spans="1:13" x14ac:dyDescent="0.35">
      <c r="A1176" t="s">
        <v>1585</v>
      </c>
      <c r="B1176" t="s">
        <v>570</v>
      </c>
      <c r="C1176" t="s">
        <v>108</v>
      </c>
      <c r="D1176" s="2">
        <v>1421.12</v>
      </c>
      <c r="E1176">
        <v>1</v>
      </c>
      <c r="F1176">
        <v>0.1</v>
      </c>
      <c r="G1176" t="s">
        <v>39</v>
      </c>
      <c r="H1176" t="s">
        <v>21</v>
      </c>
      <c r="I1176" t="s">
        <v>16</v>
      </c>
      <c r="J1176" s="2">
        <f>Table1_1[[#This Row],[Sales]]-Table1_1[[#This Row],[Sales]]*Table1_1[[#This Row],[Discount]]</f>
        <v>1279.0079999999998</v>
      </c>
      <c r="K1176" s="1">
        <v>45503</v>
      </c>
      <c r="L1176" s="11">
        <v>45510</v>
      </c>
      <c r="M1176">
        <f>DATEDIF(Table1_1[[#This Row],[Order Date]],Table1_1[[#This Row],[Ship Date]],"D")</f>
        <v>7</v>
      </c>
    </row>
    <row r="1177" spans="1:13" x14ac:dyDescent="0.35">
      <c r="A1177" t="s">
        <v>1586</v>
      </c>
      <c r="B1177" t="s">
        <v>117</v>
      </c>
      <c r="C1177" t="s">
        <v>388</v>
      </c>
      <c r="D1177" s="2">
        <v>3399.69</v>
      </c>
      <c r="E1177">
        <v>2</v>
      </c>
      <c r="F1177">
        <v>0.2</v>
      </c>
      <c r="G1177" t="s">
        <v>19</v>
      </c>
      <c r="H1177" t="s">
        <v>15</v>
      </c>
      <c r="I1177" t="s">
        <v>16</v>
      </c>
      <c r="J1177" s="2">
        <f>Table1_1[[#This Row],[Sales]]-Table1_1[[#This Row],[Sales]]*Table1_1[[#This Row],[Discount]]</f>
        <v>2719.752</v>
      </c>
      <c r="K1177" s="1">
        <v>45777</v>
      </c>
      <c r="L1177" s="11">
        <v>45781</v>
      </c>
      <c r="M1177">
        <f>DATEDIF(Table1_1[[#This Row],[Order Date]],Table1_1[[#This Row],[Ship Date]],"D")</f>
        <v>4</v>
      </c>
    </row>
    <row r="1178" spans="1:13" x14ac:dyDescent="0.35">
      <c r="A1178" t="s">
        <v>1587</v>
      </c>
      <c r="B1178" t="s">
        <v>201</v>
      </c>
      <c r="C1178" t="s">
        <v>756</v>
      </c>
      <c r="D1178" s="2">
        <v>4831.1099999999997</v>
      </c>
      <c r="E1178">
        <v>7</v>
      </c>
      <c r="F1178">
        <v>0.1</v>
      </c>
      <c r="G1178" t="s">
        <v>14</v>
      </c>
      <c r="H1178" t="s">
        <v>21</v>
      </c>
      <c r="I1178" t="s">
        <v>43</v>
      </c>
      <c r="J1178" s="2">
        <f>Table1_1[[#This Row],[Sales]]-Table1_1[[#This Row],[Sales]]*Table1_1[[#This Row],[Discount]]</f>
        <v>4347.9989999999998</v>
      </c>
      <c r="K1178" s="1">
        <v>45186</v>
      </c>
      <c r="L1178" s="11">
        <v>45193</v>
      </c>
      <c r="M1178">
        <f>DATEDIF(Table1_1[[#This Row],[Order Date]],Table1_1[[#This Row],[Ship Date]],"D")</f>
        <v>7</v>
      </c>
    </row>
    <row r="1179" spans="1:13" x14ac:dyDescent="0.35">
      <c r="A1179" t="s">
        <v>1588</v>
      </c>
      <c r="B1179" t="s">
        <v>70</v>
      </c>
      <c r="C1179" t="s">
        <v>595</v>
      </c>
      <c r="D1179" s="2">
        <v>2941.8</v>
      </c>
      <c r="E1179">
        <v>10</v>
      </c>
      <c r="F1179">
        <v>0.3</v>
      </c>
      <c r="G1179" t="s">
        <v>19</v>
      </c>
      <c r="H1179" t="s">
        <v>15</v>
      </c>
      <c r="I1179" t="s">
        <v>43</v>
      </c>
      <c r="J1179" s="2">
        <f>Table1_1[[#This Row],[Sales]]-Table1_1[[#This Row],[Sales]]*Table1_1[[#This Row],[Discount]]</f>
        <v>2059.2600000000002</v>
      </c>
      <c r="K1179" s="1">
        <v>45479</v>
      </c>
      <c r="L1179" s="11">
        <v>45485</v>
      </c>
      <c r="M1179">
        <f>DATEDIF(Table1_1[[#This Row],[Order Date]],Table1_1[[#This Row],[Ship Date]],"D")</f>
        <v>6</v>
      </c>
    </row>
    <row r="1180" spans="1:13" x14ac:dyDescent="0.35">
      <c r="A1180" t="s">
        <v>1589</v>
      </c>
      <c r="B1180" t="s">
        <v>928</v>
      </c>
      <c r="C1180" t="s">
        <v>318</v>
      </c>
      <c r="D1180" s="2">
        <v>1387.93</v>
      </c>
      <c r="E1180">
        <v>3</v>
      </c>
      <c r="F1180">
        <v>0.2</v>
      </c>
      <c r="G1180" t="s">
        <v>14</v>
      </c>
      <c r="H1180" t="s">
        <v>15</v>
      </c>
      <c r="I1180" t="s">
        <v>16</v>
      </c>
      <c r="J1180" s="2">
        <f>Table1_1[[#This Row],[Sales]]-Table1_1[[#This Row],[Sales]]*Table1_1[[#This Row],[Discount]]</f>
        <v>1110.3440000000001</v>
      </c>
      <c r="K1180" s="1">
        <v>44952</v>
      </c>
      <c r="L1180" s="11">
        <v>44955</v>
      </c>
      <c r="M1180">
        <f>DATEDIF(Table1_1[[#This Row],[Order Date]],Table1_1[[#This Row],[Ship Date]],"D")</f>
        <v>3</v>
      </c>
    </row>
    <row r="1181" spans="1:13" x14ac:dyDescent="0.35">
      <c r="A1181" t="s">
        <v>1590</v>
      </c>
      <c r="B1181" t="s">
        <v>770</v>
      </c>
      <c r="C1181" t="s">
        <v>157</v>
      </c>
      <c r="D1181" s="2">
        <v>795.09</v>
      </c>
      <c r="E1181">
        <v>5</v>
      </c>
      <c r="F1181">
        <v>0.2</v>
      </c>
      <c r="G1181" t="s">
        <v>14</v>
      </c>
      <c r="H1181" t="s">
        <v>21</v>
      </c>
      <c r="I1181" t="s">
        <v>20</v>
      </c>
      <c r="J1181" s="2">
        <f>Table1_1[[#This Row],[Sales]]-Table1_1[[#This Row],[Sales]]*Table1_1[[#This Row],[Discount]]</f>
        <v>636.072</v>
      </c>
      <c r="K1181" s="1">
        <v>44993</v>
      </c>
      <c r="L1181" s="11">
        <v>44995</v>
      </c>
      <c r="M1181">
        <f>DATEDIF(Table1_1[[#This Row],[Order Date]],Table1_1[[#This Row],[Ship Date]],"D")</f>
        <v>2</v>
      </c>
    </row>
    <row r="1182" spans="1:13" x14ac:dyDescent="0.35">
      <c r="A1182" t="s">
        <v>1591</v>
      </c>
      <c r="B1182" t="s">
        <v>498</v>
      </c>
      <c r="C1182" t="s">
        <v>384</v>
      </c>
      <c r="D1182" s="2">
        <v>1972.38</v>
      </c>
      <c r="E1182">
        <v>2</v>
      </c>
      <c r="F1182">
        <v>0</v>
      </c>
      <c r="G1182" t="s">
        <v>39</v>
      </c>
      <c r="H1182" t="s">
        <v>15</v>
      </c>
      <c r="I1182" t="s">
        <v>43</v>
      </c>
      <c r="J1182" s="2">
        <f>Table1_1[[#This Row],[Sales]]-Table1_1[[#This Row],[Sales]]*Table1_1[[#This Row],[Discount]]</f>
        <v>1972.38</v>
      </c>
      <c r="K1182" s="1">
        <v>45428</v>
      </c>
      <c r="L1182" s="11">
        <v>45430</v>
      </c>
      <c r="M1182">
        <f>DATEDIF(Table1_1[[#This Row],[Order Date]],Table1_1[[#This Row],[Ship Date]],"D")</f>
        <v>2</v>
      </c>
    </row>
    <row r="1183" spans="1:13" x14ac:dyDescent="0.35">
      <c r="A1183" t="s">
        <v>1592</v>
      </c>
      <c r="B1183" t="s">
        <v>1593</v>
      </c>
      <c r="C1183" t="s">
        <v>359</v>
      </c>
      <c r="D1183" s="2">
        <v>1351.42</v>
      </c>
      <c r="E1183">
        <v>10</v>
      </c>
      <c r="F1183">
        <v>0.3</v>
      </c>
      <c r="G1183" t="s">
        <v>14</v>
      </c>
      <c r="H1183" t="s">
        <v>21</v>
      </c>
      <c r="I1183" t="s">
        <v>20</v>
      </c>
      <c r="J1183" s="2">
        <f>Table1_1[[#This Row],[Sales]]-Table1_1[[#This Row],[Sales]]*Table1_1[[#This Row],[Discount]]</f>
        <v>945.99400000000014</v>
      </c>
      <c r="K1183" s="1">
        <v>45019</v>
      </c>
      <c r="L1183" s="11">
        <v>45025</v>
      </c>
      <c r="M1183">
        <f>DATEDIF(Table1_1[[#This Row],[Order Date]],Table1_1[[#This Row],[Ship Date]],"D")</f>
        <v>6</v>
      </c>
    </row>
    <row r="1184" spans="1:13" x14ac:dyDescent="0.35">
      <c r="A1184" t="s">
        <v>1594</v>
      </c>
      <c r="B1184" t="s">
        <v>983</v>
      </c>
      <c r="C1184" t="s">
        <v>157</v>
      </c>
      <c r="D1184" s="2">
        <v>377.01</v>
      </c>
      <c r="E1184">
        <v>1</v>
      </c>
      <c r="F1184">
        <v>0.1</v>
      </c>
      <c r="G1184" t="s">
        <v>14</v>
      </c>
      <c r="H1184" t="s">
        <v>21</v>
      </c>
      <c r="I1184" t="s">
        <v>20</v>
      </c>
      <c r="J1184" s="2">
        <f>Table1_1[[#This Row],[Sales]]-Table1_1[[#This Row],[Sales]]*Table1_1[[#This Row],[Discount]]</f>
        <v>339.30899999999997</v>
      </c>
      <c r="K1184" s="1">
        <v>45117</v>
      </c>
      <c r="L1184" s="11">
        <v>45122</v>
      </c>
      <c r="M1184">
        <f>DATEDIF(Table1_1[[#This Row],[Order Date]],Table1_1[[#This Row],[Ship Date]],"D")</f>
        <v>5</v>
      </c>
    </row>
    <row r="1185" spans="1:13" x14ac:dyDescent="0.35">
      <c r="A1185" t="s">
        <v>1595</v>
      </c>
      <c r="B1185" t="s">
        <v>288</v>
      </c>
      <c r="C1185" t="s">
        <v>336</v>
      </c>
      <c r="D1185" s="2">
        <v>2163.5300000000002</v>
      </c>
      <c r="E1185">
        <v>6</v>
      </c>
      <c r="F1185">
        <v>0</v>
      </c>
      <c r="G1185" t="s">
        <v>14</v>
      </c>
      <c r="H1185" t="s">
        <v>15</v>
      </c>
      <c r="I1185" t="s">
        <v>20</v>
      </c>
      <c r="J1185" s="2">
        <f>Table1_1[[#This Row],[Sales]]-Table1_1[[#This Row],[Sales]]*Table1_1[[#This Row],[Discount]]</f>
        <v>2163.5300000000002</v>
      </c>
      <c r="K1185" s="1">
        <v>44980</v>
      </c>
      <c r="L1185" s="11">
        <v>44986</v>
      </c>
      <c r="M1185">
        <f>DATEDIF(Table1_1[[#This Row],[Order Date]],Table1_1[[#This Row],[Ship Date]],"D")</f>
        <v>6</v>
      </c>
    </row>
    <row r="1186" spans="1:13" x14ac:dyDescent="0.35">
      <c r="A1186" t="s">
        <v>1596</v>
      </c>
      <c r="B1186" t="s">
        <v>301</v>
      </c>
      <c r="C1186" t="s">
        <v>448</v>
      </c>
      <c r="D1186" s="2">
        <v>324.02999999999997</v>
      </c>
      <c r="E1186">
        <v>5</v>
      </c>
      <c r="F1186">
        <v>0</v>
      </c>
      <c r="G1186" t="s">
        <v>19</v>
      </c>
      <c r="H1186" t="s">
        <v>15</v>
      </c>
      <c r="I1186" t="s">
        <v>43</v>
      </c>
      <c r="J1186" s="2">
        <f>Table1_1[[#This Row],[Sales]]-Table1_1[[#This Row],[Sales]]*Table1_1[[#This Row],[Discount]]</f>
        <v>324.02999999999997</v>
      </c>
      <c r="K1186" s="1">
        <v>45408</v>
      </c>
      <c r="L1186" s="11">
        <v>45414</v>
      </c>
      <c r="M1186">
        <f>DATEDIF(Table1_1[[#This Row],[Order Date]],Table1_1[[#This Row],[Ship Date]],"D")</f>
        <v>6</v>
      </c>
    </row>
    <row r="1187" spans="1:13" x14ac:dyDescent="0.35">
      <c r="A1187" t="s">
        <v>1597</v>
      </c>
      <c r="B1187" t="s">
        <v>382</v>
      </c>
      <c r="C1187" t="s">
        <v>57</v>
      </c>
      <c r="D1187" s="2">
        <v>3862.72</v>
      </c>
      <c r="E1187">
        <v>1</v>
      </c>
      <c r="F1187">
        <v>0</v>
      </c>
      <c r="G1187" t="s">
        <v>14</v>
      </c>
      <c r="H1187" t="s">
        <v>21</v>
      </c>
      <c r="I1187" t="s">
        <v>16</v>
      </c>
      <c r="J1187" s="2">
        <f>Table1_1[[#This Row],[Sales]]-Table1_1[[#This Row],[Sales]]*Table1_1[[#This Row],[Discount]]</f>
        <v>3862.72</v>
      </c>
      <c r="K1187" s="1">
        <v>45191</v>
      </c>
      <c r="L1187" s="11">
        <v>45192</v>
      </c>
      <c r="M1187">
        <f>DATEDIF(Table1_1[[#This Row],[Order Date]],Table1_1[[#This Row],[Ship Date]],"D")</f>
        <v>1</v>
      </c>
    </row>
    <row r="1188" spans="1:13" x14ac:dyDescent="0.35">
      <c r="A1188" t="s">
        <v>1598</v>
      </c>
      <c r="B1188" t="s">
        <v>1434</v>
      </c>
      <c r="C1188" t="s">
        <v>26</v>
      </c>
      <c r="D1188" s="2">
        <v>4822.63</v>
      </c>
      <c r="E1188">
        <v>5</v>
      </c>
      <c r="F1188">
        <v>0</v>
      </c>
      <c r="G1188" t="s">
        <v>39</v>
      </c>
      <c r="H1188" t="s">
        <v>21</v>
      </c>
      <c r="I1188" t="s">
        <v>43</v>
      </c>
      <c r="J1188" s="2">
        <f>Table1_1[[#This Row],[Sales]]-Table1_1[[#This Row],[Sales]]*Table1_1[[#This Row],[Discount]]</f>
        <v>4822.63</v>
      </c>
      <c r="K1188" s="1">
        <v>45232</v>
      </c>
      <c r="L1188" s="11">
        <v>45238</v>
      </c>
      <c r="M1188">
        <f>DATEDIF(Table1_1[[#This Row],[Order Date]],Table1_1[[#This Row],[Ship Date]],"D")</f>
        <v>6</v>
      </c>
    </row>
    <row r="1189" spans="1:13" x14ac:dyDescent="0.35">
      <c r="A1189" t="s">
        <v>1599</v>
      </c>
      <c r="B1189" t="s">
        <v>36</v>
      </c>
      <c r="C1189" t="s">
        <v>595</v>
      </c>
      <c r="D1189" s="2">
        <v>2479.4</v>
      </c>
      <c r="E1189">
        <v>7</v>
      </c>
      <c r="F1189">
        <v>0</v>
      </c>
      <c r="G1189" t="s">
        <v>19</v>
      </c>
      <c r="H1189" t="s">
        <v>15</v>
      </c>
      <c r="I1189" t="s">
        <v>43</v>
      </c>
      <c r="J1189" s="2">
        <f>Table1_1[[#This Row],[Sales]]-Table1_1[[#This Row],[Sales]]*Table1_1[[#This Row],[Discount]]</f>
        <v>2479.4</v>
      </c>
      <c r="K1189" s="1">
        <v>45001</v>
      </c>
      <c r="L1189" s="11">
        <v>45008</v>
      </c>
      <c r="M1189">
        <f>DATEDIF(Table1_1[[#This Row],[Order Date]],Table1_1[[#This Row],[Ship Date]],"D")</f>
        <v>7</v>
      </c>
    </row>
    <row r="1190" spans="1:13" x14ac:dyDescent="0.35">
      <c r="A1190" t="s">
        <v>1600</v>
      </c>
      <c r="B1190" t="s">
        <v>414</v>
      </c>
      <c r="C1190" t="s">
        <v>246</v>
      </c>
      <c r="D1190" s="2">
        <v>3021.07</v>
      </c>
      <c r="E1190">
        <v>8</v>
      </c>
      <c r="F1190">
        <v>0</v>
      </c>
      <c r="G1190" t="s">
        <v>14</v>
      </c>
      <c r="H1190" t="s">
        <v>21</v>
      </c>
      <c r="I1190" t="s">
        <v>20</v>
      </c>
      <c r="J1190" s="2">
        <f>Table1_1[[#This Row],[Sales]]-Table1_1[[#This Row],[Sales]]*Table1_1[[#This Row],[Discount]]</f>
        <v>3021.07</v>
      </c>
      <c r="K1190" s="1">
        <v>45384</v>
      </c>
      <c r="L1190" s="11">
        <v>45387</v>
      </c>
      <c r="M1190">
        <f>DATEDIF(Table1_1[[#This Row],[Order Date]],Table1_1[[#This Row],[Ship Date]],"D")</f>
        <v>3</v>
      </c>
    </row>
    <row r="1191" spans="1:13" x14ac:dyDescent="0.35">
      <c r="A1191" t="s">
        <v>1601</v>
      </c>
      <c r="B1191" t="s">
        <v>245</v>
      </c>
      <c r="C1191" t="s">
        <v>450</v>
      </c>
      <c r="D1191" s="2">
        <v>3623.73</v>
      </c>
      <c r="E1191">
        <v>2</v>
      </c>
      <c r="F1191">
        <v>0.2</v>
      </c>
      <c r="G1191" t="s">
        <v>39</v>
      </c>
      <c r="H1191" t="s">
        <v>15</v>
      </c>
      <c r="I1191" t="s">
        <v>43</v>
      </c>
      <c r="J1191" s="2">
        <f>Table1_1[[#This Row],[Sales]]-Table1_1[[#This Row],[Sales]]*Table1_1[[#This Row],[Discount]]</f>
        <v>2898.9839999999999</v>
      </c>
      <c r="K1191" s="1">
        <v>45104</v>
      </c>
      <c r="L1191" s="11">
        <v>45110</v>
      </c>
      <c r="M1191">
        <f>DATEDIF(Table1_1[[#This Row],[Order Date]],Table1_1[[#This Row],[Ship Date]],"D")</f>
        <v>6</v>
      </c>
    </row>
    <row r="1192" spans="1:13" x14ac:dyDescent="0.35">
      <c r="A1192" t="s">
        <v>1602</v>
      </c>
      <c r="B1192" t="s">
        <v>193</v>
      </c>
      <c r="C1192" t="s">
        <v>310</v>
      </c>
      <c r="D1192" s="2">
        <v>1146.47</v>
      </c>
      <c r="E1192">
        <v>6</v>
      </c>
      <c r="F1192">
        <v>0.2</v>
      </c>
      <c r="G1192" t="s">
        <v>14</v>
      </c>
      <c r="H1192" t="s">
        <v>21</v>
      </c>
      <c r="I1192" t="s">
        <v>20</v>
      </c>
      <c r="J1192" s="2">
        <f>Table1_1[[#This Row],[Sales]]-Table1_1[[#This Row],[Sales]]*Table1_1[[#This Row],[Discount]]</f>
        <v>917.17600000000004</v>
      </c>
      <c r="K1192" s="1">
        <v>44948</v>
      </c>
      <c r="L1192" s="11">
        <v>44955</v>
      </c>
      <c r="M1192">
        <f>DATEDIF(Table1_1[[#This Row],[Order Date]],Table1_1[[#This Row],[Ship Date]],"D")</f>
        <v>7</v>
      </c>
    </row>
    <row r="1193" spans="1:13" x14ac:dyDescent="0.35">
      <c r="A1193" t="s">
        <v>1603</v>
      </c>
      <c r="B1193" t="s">
        <v>159</v>
      </c>
      <c r="C1193" t="s">
        <v>237</v>
      </c>
      <c r="D1193" s="2">
        <v>1099.6099999999999</v>
      </c>
      <c r="E1193">
        <v>10</v>
      </c>
      <c r="F1193">
        <v>0</v>
      </c>
      <c r="G1193" t="s">
        <v>39</v>
      </c>
      <c r="H1193" t="s">
        <v>15</v>
      </c>
      <c r="I1193" t="s">
        <v>20</v>
      </c>
      <c r="J1193" s="2">
        <f>Table1_1[[#This Row],[Sales]]-Table1_1[[#This Row],[Sales]]*Table1_1[[#This Row],[Discount]]</f>
        <v>1099.6099999999999</v>
      </c>
      <c r="K1193" s="1">
        <v>45104</v>
      </c>
      <c r="L1193" s="11">
        <v>45105</v>
      </c>
      <c r="M1193">
        <f>DATEDIF(Table1_1[[#This Row],[Order Date]],Table1_1[[#This Row],[Ship Date]],"D")</f>
        <v>1</v>
      </c>
    </row>
    <row r="1194" spans="1:13" x14ac:dyDescent="0.35">
      <c r="A1194" t="s">
        <v>1604</v>
      </c>
      <c r="B1194" t="s">
        <v>445</v>
      </c>
      <c r="C1194" t="s">
        <v>293</v>
      </c>
      <c r="D1194" s="2">
        <v>4512.79</v>
      </c>
      <c r="E1194">
        <v>2</v>
      </c>
      <c r="F1194">
        <v>0.3</v>
      </c>
      <c r="G1194" t="s">
        <v>39</v>
      </c>
      <c r="H1194" t="s">
        <v>21</v>
      </c>
      <c r="I1194" t="s">
        <v>16</v>
      </c>
      <c r="J1194" s="2">
        <f>Table1_1[[#This Row],[Sales]]-Table1_1[[#This Row],[Sales]]*Table1_1[[#This Row],[Discount]]</f>
        <v>3158.953</v>
      </c>
      <c r="K1194" s="1">
        <v>45282</v>
      </c>
      <c r="L1194" s="11">
        <v>45288</v>
      </c>
      <c r="M1194">
        <f>DATEDIF(Table1_1[[#This Row],[Order Date]],Table1_1[[#This Row],[Ship Date]],"D")</f>
        <v>6</v>
      </c>
    </row>
    <row r="1195" spans="1:13" x14ac:dyDescent="0.35">
      <c r="A1195" t="s">
        <v>1605</v>
      </c>
      <c r="B1195" t="s">
        <v>535</v>
      </c>
      <c r="C1195" t="s">
        <v>194</v>
      </c>
      <c r="D1195" s="2">
        <v>3695.57</v>
      </c>
      <c r="E1195">
        <v>9</v>
      </c>
      <c r="F1195">
        <v>0.3</v>
      </c>
      <c r="G1195" t="s">
        <v>14</v>
      </c>
      <c r="H1195" t="s">
        <v>15</v>
      </c>
      <c r="I1195" t="s">
        <v>20</v>
      </c>
      <c r="J1195" s="2">
        <f>Table1_1[[#This Row],[Sales]]-Table1_1[[#This Row],[Sales]]*Table1_1[[#This Row],[Discount]]</f>
        <v>2586.8990000000003</v>
      </c>
      <c r="K1195" s="1">
        <v>45390</v>
      </c>
      <c r="L1195" s="11">
        <v>45391</v>
      </c>
      <c r="M1195">
        <f>DATEDIF(Table1_1[[#This Row],[Order Date]],Table1_1[[#This Row],[Ship Date]],"D")</f>
        <v>1</v>
      </c>
    </row>
    <row r="1196" spans="1:13" x14ac:dyDescent="0.35">
      <c r="A1196" t="s">
        <v>1606</v>
      </c>
      <c r="B1196" t="s">
        <v>30</v>
      </c>
      <c r="C1196" t="s">
        <v>217</v>
      </c>
      <c r="D1196" s="2">
        <v>114.24</v>
      </c>
      <c r="E1196">
        <v>10</v>
      </c>
      <c r="F1196">
        <v>0.3</v>
      </c>
      <c r="G1196" t="s">
        <v>39</v>
      </c>
      <c r="H1196" t="s">
        <v>15</v>
      </c>
      <c r="I1196" t="s">
        <v>20</v>
      </c>
      <c r="J1196" s="2">
        <f>Table1_1[[#This Row],[Sales]]-Table1_1[[#This Row],[Sales]]*Table1_1[[#This Row],[Discount]]</f>
        <v>79.967999999999989</v>
      </c>
      <c r="K1196" s="1">
        <v>45473</v>
      </c>
      <c r="L1196" s="11">
        <v>45478</v>
      </c>
      <c r="M1196">
        <f>DATEDIF(Table1_1[[#This Row],[Order Date]],Table1_1[[#This Row],[Ship Date]],"D")</f>
        <v>5</v>
      </c>
    </row>
    <row r="1197" spans="1:13" x14ac:dyDescent="0.35">
      <c r="A1197" t="s">
        <v>1607</v>
      </c>
      <c r="B1197" t="s">
        <v>306</v>
      </c>
      <c r="C1197" t="s">
        <v>268</v>
      </c>
      <c r="D1197" s="2">
        <v>3201.97</v>
      </c>
      <c r="E1197">
        <v>10</v>
      </c>
      <c r="F1197">
        <v>0.1</v>
      </c>
      <c r="G1197" t="s">
        <v>14</v>
      </c>
      <c r="H1197" t="s">
        <v>15</v>
      </c>
      <c r="I1197" t="s">
        <v>16</v>
      </c>
      <c r="J1197" s="2">
        <f>Table1_1[[#This Row],[Sales]]-Table1_1[[#This Row],[Sales]]*Table1_1[[#This Row],[Discount]]</f>
        <v>2881.7729999999997</v>
      </c>
      <c r="K1197" s="1">
        <v>45608</v>
      </c>
      <c r="L1197" s="11">
        <v>45613</v>
      </c>
      <c r="M1197">
        <f>DATEDIF(Table1_1[[#This Row],[Order Date]],Table1_1[[#This Row],[Ship Date]],"D")</f>
        <v>5</v>
      </c>
    </row>
    <row r="1198" spans="1:13" x14ac:dyDescent="0.35">
      <c r="A1198" t="s">
        <v>1608</v>
      </c>
      <c r="B1198" t="s">
        <v>661</v>
      </c>
      <c r="C1198" t="s">
        <v>91</v>
      </c>
      <c r="D1198" s="2">
        <v>1150.6400000000001</v>
      </c>
      <c r="E1198">
        <v>10</v>
      </c>
      <c r="F1198">
        <v>0.1</v>
      </c>
      <c r="G1198" t="s">
        <v>14</v>
      </c>
      <c r="H1198" t="s">
        <v>21</v>
      </c>
      <c r="I1198" t="s">
        <v>16</v>
      </c>
      <c r="J1198" s="2">
        <f>Table1_1[[#This Row],[Sales]]-Table1_1[[#This Row],[Sales]]*Table1_1[[#This Row],[Discount]]</f>
        <v>1035.576</v>
      </c>
      <c r="K1198" s="1">
        <v>45637</v>
      </c>
      <c r="L1198" s="11">
        <v>45644</v>
      </c>
      <c r="M1198">
        <f>DATEDIF(Table1_1[[#This Row],[Order Date]],Table1_1[[#This Row],[Ship Date]],"D")</f>
        <v>7</v>
      </c>
    </row>
    <row r="1199" spans="1:13" x14ac:dyDescent="0.35">
      <c r="A1199" t="s">
        <v>1609</v>
      </c>
      <c r="B1199" t="s">
        <v>394</v>
      </c>
      <c r="C1199" t="s">
        <v>450</v>
      </c>
      <c r="D1199" s="2">
        <v>1033.08</v>
      </c>
      <c r="E1199">
        <v>9</v>
      </c>
      <c r="F1199">
        <v>0</v>
      </c>
      <c r="G1199" t="s">
        <v>14</v>
      </c>
      <c r="H1199" t="s">
        <v>15</v>
      </c>
      <c r="I1199" t="s">
        <v>16</v>
      </c>
      <c r="J1199" s="2">
        <f>Table1_1[[#This Row],[Sales]]-Table1_1[[#This Row],[Sales]]*Table1_1[[#This Row],[Discount]]</f>
        <v>1033.08</v>
      </c>
      <c r="K1199" s="1">
        <v>44949</v>
      </c>
      <c r="L1199" s="11">
        <v>44954</v>
      </c>
      <c r="M1199">
        <f>DATEDIF(Table1_1[[#This Row],[Order Date]],Table1_1[[#This Row],[Ship Date]],"D")</f>
        <v>5</v>
      </c>
    </row>
    <row r="1200" spans="1:13" x14ac:dyDescent="0.35">
      <c r="A1200" t="s">
        <v>1610</v>
      </c>
      <c r="B1200" t="s">
        <v>1242</v>
      </c>
      <c r="C1200" t="s">
        <v>820</v>
      </c>
      <c r="D1200" s="2">
        <v>1920.99</v>
      </c>
      <c r="E1200">
        <v>5</v>
      </c>
      <c r="F1200">
        <v>0.3</v>
      </c>
      <c r="G1200" t="s">
        <v>14</v>
      </c>
      <c r="H1200" t="s">
        <v>15</v>
      </c>
      <c r="I1200" t="s">
        <v>43</v>
      </c>
      <c r="J1200" s="2">
        <f>Table1_1[[#This Row],[Sales]]-Table1_1[[#This Row],[Sales]]*Table1_1[[#This Row],[Discount]]</f>
        <v>1344.693</v>
      </c>
      <c r="K1200" s="1">
        <v>44957</v>
      </c>
      <c r="L1200" s="11">
        <v>44960</v>
      </c>
      <c r="M1200">
        <f>DATEDIF(Table1_1[[#This Row],[Order Date]],Table1_1[[#This Row],[Ship Date]],"D")</f>
        <v>3</v>
      </c>
    </row>
    <row r="1201" spans="1:13" x14ac:dyDescent="0.35">
      <c r="A1201" t="s">
        <v>1611</v>
      </c>
      <c r="B1201" t="s">
        <v>971</v>
      </c>
      <c r="C1201" t="s">
        <v>341</v>
      </c>
      <c r="D1201" s="2">
        <v>462.22</v>
      </c>
      <c r="E1201">
        <v>6</v>
      </c>
      <c r="F1201">
        <v>0.3</v>
      </c>
      <c r="G1201" t="s">
        <v>14</v>
      </c>
      <c r="H1201" t="s">
        <v>15</v>
      </c>
      <c r="I1201" t="s">
        <v>43</v>
      </c>
      <c r="J1201" s="2">
        <f>Table1_1[[#This Row],[Sales]]-Table1_1[[#This Row],[Sales]]*Table1_1[[#This Row],[Discount]]</f>
        <v>323.55400000000003</v>
      </c>
      <c r="K1201" s="1">
        <v>45657</v>
      </c>
      <c r="L1201" s="11">
        <v>45659</v>
      </c>
      <c r="M1201">
        <f>DATEDIF(Table1_1[[#This Row],[Order Date]],Table1_1[[#This Row],[Ship Date]],"D")</f>
        <v>2</v>
      </c>
    </row>
    <row r="1202" spans="1:13" x14ac:dyDescent="0.35">
      <c r="A1202" t="s">
        <v>1612</v>
      </c>
      <c r="B1202" t="s">
        <v>303</v>
      </c>
      <c r="C1202" t="s">
        <v>820</v>
      </c>
      <c r="D1202" s="2">
        <v>3881.18</v>
      </c>
      <c r="E1202">
        <v>8</v>
      </c>
      <c r="F1202">
        <v>0.1</v>
      </c>
      <c r="G1202" t="s">
        <v>14</v>
      </c>
      <c r="H1202" t="s">
        <v>15</v>
      </c>
      <c r="I1202" t="s">
        <v>16</v>
      </c>
      <c r="J1202" s="2">
        <f>Table1_1[[#This Row],[Sales]]-Table1_1[[#This Row],[Sales]]*Table1_1[[#This Row],[Discount]]</f>
        <v>3493.0619999999999</v>
      </c>
      <c r="K1202" s="1">
        <v>45154</v>
      </c>
      <c r="L1202" s="11">
        <v>45155</v>
      </c>
      <c r="M1202">
        <f>DATEDIF(Table1_1[[#This Row],[Order Date]],Table1_1[[#This Row],[Ship Date]],"D")</f>
        <v>1</v>
      </c>
    </row>
    <row r="1203" spans="1:13" x14ac:dyDescent="0.35">
      <c r="A1203" t="s">
        <v>1613</v>
      </c>
      <c r="B1203" t="s">
        <v>597</v>
      </c>
      <c r="C1203" t="s">
        <v>160</v>
      </c>
      <c r="D1203" s="2">
        <v>483.55</v>
      </c>
      <c r="E1203">
        <v>6</v>
      </c>
      <c r="F1203">
        <v>0.3</v>
      </c>
      <c r="G1203" t="s">
        <v>14</v>
      </c>
      <c r="H1203" t="s">
        <v>21</v>
      </c>
      <c r="I1203" t="s">
        <v>16</v>
      </c>
      <c r="J1203" s="2">
        <f>Table1_1[[#This Row],[Sales]]-Table1_1[[#This Row],[Sales]]*Table1_1[[#This Row],[Discount]]</f>
        <v>338.48500000000001</v>
      </c>
      <c r="K1203" s="1">
        <v>45152</v>
      </c>
      <c r="L1203" s="11">
        <v>45154</v>
      </c>
      <c r="M1203">
        <f>DATEDIF(Table1_1[[#This Row],[Order Date]],Table1_1[[#This Row],[Ship Date]],"D")</f>
        <v>2</v>
      </c>
    </row>
    <row r="1204" spans="1:13" x14ac:dyDescent="0.35">
      <c r="A1204" t="s">
        <v>1614</v>
      </c>
      <c r="B1204" t="s">
        <v>812</v>
      </c>
      <c r="C1204" t="s">
        <v>113</v>
      </c>
      <c r="D1204" s="2">
        <v>890.47</v>
      </c>
      <c r="E1204">
        <v>6</v>
      </c>
      <c r="F1204">
        <v>0.1</v>
      </c>
      <c r="G1204" t="s">
        <v>39</v>
      </c>
      <c r="H1204" t="s">
        <v>21</v>
      </c>
      <c r="I1204" t="s">
        <v>43</v>
      </c>
      <c r="J1204" s="2">
        <f>Table1_1[[#This Row],[Sales]]-Table1_1[[#This Row],[Sales]]*Table1_1[[#This Row],[Discount]]</f>
        <v>801.423</v>
      </c>
      <c r="K1204" s="1">
        <v>45027</v>
      </c>
      <c r="L1204" s="11">
        <v>45030</v>
      </c>
      <c r="M1204">
        <f>DATEDIF(Table1_1[[#This Row],[Order Date]],Table1_1[[#This Row],[Ship Date]],"D")</f>
        <v>3</v>
      </c>
    </row>
    <row r="1205" spans="1:13" x14ac:dyDescent="0.35">
      <c r="A1205" t="s">
        <v>1615</v>
      </c>
      <c r="B1205" t="s">
        <v>272</v>
      </c>
      <c r="C1205" t="s">
        <v>359</v>
      </c>
      <c r="D1205" s="2">
        <v>2977.61</v>
      </c>
      <c r="E1205">
        <v>3</v>
      </c>
      <c r="F1205">
        <v>0.1</v>
      </c>
      <c r="G1205" t="s">
        <v>19</v>
      </c>
      <c r="H1205" t="s">
        <v>21</v>
      </c>
      <c r="I1205" t="s">
        <v>43</v>
      </c>
      <c r="J1205" s="2">
        <f>Table1_1[[#This Row],[Sales]]-Table1_1[[#This Row],[Sales]]*Table1_1[[#This Row],[Discount]]</f>
        <v>2679.8490000000002</v>
      </c>
      <c r="K1205" s="1">
        <v>45184</v>
      </c>
      <c r="L1205" s="11">
        <v>45185</v>
      </c>
      <c r="M1205">
        <f>DATEDIF(Table1_1[[#This Row],[Order Date]],Table1_1[[#This Row],[Ship Date]],"D")</f>
        <v>1</v>
      </c>
    </row>
    <row r="1206" spans="1:13" x14ac:dyDescent="0.35">
      <c r="A1206" t="s">
        <v>1616</v>
      </c>
      <c r="B1206" t="s">
        <v>165</v>
      </c>
      <c r="C1206" t="s">
        <v>125</v>
      </c>
      <c r="D1206" s="2">
        <v>708.49</v>
      </c>
      <c r="E1206">
        <v>2</v>
      </c>
      <c r="F1206">
        <v>0</v>
      </c>
      <c r="G1206" t="s">
        <v>14</v>
      </c>
      <c r="H1206" t="s">
        <v>15</v>
      </c>
      <c r="I1206" t="s">
        <v>16</v>
      </c>
      <c r="J1206" s="2">
        <f>Table1_1[[#This Row],[Sales]]-Table1_1[[#This Row],[Sales]]*Table1_1[[#This Row],[Discount]]</f>
        <v>708.49</v>
      </c>
      <c r="K1206" s="1">
        <v>45266</v>
      </c>
      <c r="L1206" s="11">
        <v>45272</v>
      </c>
      <c r="M1206">
        <f>DATEDIF(Table1_1[[#This Row],[Order Date]],Table1_1[[#This Row],[Ship Date]],"D")</f>
        <v>6</v>
      </c>
    </row>
    <row r="1207" spans="1:13" x14ac:dyDescent="0.35">
      <c r="A1207" t="s">
        <v>1617</v>
      </c>
      <c r="B1207" t="s">
        <v>486</v>
      </c>
      <c r="C1207" t="s">
        <v>376</v>
      </c>
      <c r="D1207" s="2">
        <v>2509.48</v>
      </c>
      <c r="E1207">
        <v>1</v>
      </c>
      <c r="F1207">
        <v>0</v>
      </c>
      <c r="G1207" t="s">
        <v>19</v>
      </c>
      <c r="H1207" t="s">
        <v>21</v>
      </c>
      <c r="I1207" t="s">
        <v>16</v>
      </c>
      <c r="J1207" s="2">
        <f>Table1_1[[#This Row],[Sales]]-Table1_1[[#This Row],[Sales]]*Table1_1[[#This Row],[Discount]]</f>
        <v>2509.48</v>
      </c>
      <c r="K1207" s="1">
        <v>45257</v>
      </c>
      <c r="L1207" s="11">
        <v>45259</v>
      </c>
      <c r="M1207">
        <f>DATEDIF(Table1_1[[#This Row],[Order Date]],Table1_1[[#This Row],[Ship Date]],"D")</f>
        <v>2</v>
      </c>
    </row>
    <row r="1208" spans="1:13" x14ac:dyDescent="0.35">
      <c r="A1208" t="s">
        <v>1618</v>
      </c>
      <c r="B1208" t="s">
        <v>1002</v>
      </c>
      <c r="C1208" t="s">
        <v>94</v>
      </c>
      <c r="D1208" s="2">
        <v>4429</v>
      </c>
      <c r="E1208">
        <v>4</v>
      </c>
      <c r="F1208">
        <v>0.2</v>
      </c>
      <c r="G1208" t="s">
        <v>39</v>
      </c>
      <c r="H1208" t="s">
        <v>15</v>
      </c>
      <c r="I1208" t="s">
        <v>43</v>
      </c>
      <c r="J1208" s="2">
        <f>Table1_1[[#This Row],[Sales]]-Table1_1[[#This Row],[Sales]]*Table1_1[[#This Row],[Discount]]</f>
        <v>3543.2</v>
      </c>
      <c r="K1208" s="1">
        <v>45658</v>
      </c>
      <c r="L1208" s="11">
        <v>45659</v>
      </c>
      <c r="M1208">
        <f>DATEDIF(Table1_1[[#This Row],[Order Date]],Table1_1[[#This Row],[Ship Date]],"D")</f>
        <v>1</v>
      </c>
    </row>
    <row r="1209" spans="1:13" x14ac:dyDescent="0.35">
      <c r="A1209" t="s">
        <v>1619</v>
      </c>
      <c r="B1209" t="s">
        <v>1593</v>
      </c>
      <c r="C1209" t="s">
        <v>408</v>
      </c>
      <c r="D1209" s="2">
        <v>2810.07</v>
      </c>
      <c r="E1209">
        <v>6</v>
      </c>
      <c r="F1209">
        <v>0.1</v>
      </c>
      <c r="G1209" t="s">
        <v>39</v>
      </c>
      <c r="H1209" t="s">
        <v>21</v>
      </c>
      <c r="I1209" t="s">
        <v>16</v>
      </c>
      <c r="J1209" s="2">
        <f>Table1_1[[#This Row],[Sales]]-Table1_1[[#This Row],[Sales]]*Table1_1[[#This Row],[Discount]]</f>
        <v>2529.0630000000001</v>
      </c>
      <c r="K1209" s="1">
        <v>45118</v>
      </c>
      <c r="L1209" s="11">
        <v>45119</v>
      </c>
      <c r="M1209">
        <f>DATEDIF(Table1_1[[#This Row],[Order Date]],Table1_1[[#This Row],[Ship Date]],"D")</f>
        <v>1</v>
      </c>
    </row>
    <row r="1210" spans="1:13" x14ac:dyDescent="0.35">
      <c r="A1210" t="s">
        <v>1620</v>
      </c>
      <c r="B1210" t="s">
        <v>550</v>
      </c>
      <c r="C1210" t="s">
        <v>135</v>
      </c>
      <c r="D1210" s="2">
        <v>2822</v>
      </c>
      <c r="E1210">
        <v>9</v>
      </c>
      <c r="F1210">
        <v>0.1</v>
      </c>
      <c r="G1210" t="s">
        <v>14</v>
      </c>
      <c r="H1210" t="s">
        <v>21</v>
      </c>
      <c r="I1210" t="s">
        <v>16</v>
      </c>
      <c r="J1210" s="2">
        <f>Table1_1[[#This Row],[Sales]]-Table1_1[[#This Row],[Sales]]*Table1_1[[#This Row],[Discount]]</f>
        <v>2539.8000000000002</v>
      </c>
      <c r="K1210" s="1">
        <v>45284</v>
      </c>
      <c r="L1210" s="11">
        <v>45291</v>
      </c>
      <c r="M1210">
        <f>DATEDIF(Table1_1[[#This Row],[Order Date]],Table1_1[[#This Row],[Ship Date]],"D")</f>
        <v>7</v>
      </c>
    </row>
    <row r="1211" spans="1:13" x14ac:dyDescent="0.35">
      <c r="A1211" t="s">
        <v>1621</v>
      </c>
      <c r="B1211" t="s">
        <v>418</v>
      </c>
      <c r="C1211" t="s">
        <v>357</v>
      </c>
      <c r="D1211" s="2">
        <v>1277.81</v>
      </c>
      <c r="E1211">
        <v>5</v>
      </c>
      <c r="F1211">
        <v>0.2</v>
      </c>
      <c r="G1211" t="s">
        <v>39</v>
      </c>
      <c r="H1211" t="s">
        <v>15</v>
      </c>
      <c r="I1211" t="s">
        <v>43</v>
      </c>
      <c r="J1211" s="2">
        <f>Table1_1[[#This Row],[Sales]]-Table1_1[[#This Row],[Sales]]*Table1_1[[#This Row],[Discount]]</f>
        <v>1022.2479999999999</v>
      </c>
      <c r="K1211" s="1">
        <v>45147</v>
      </c>
      <c r="L1211" s="11">
        <v>45153</v>
      </c>
      <c r="M1211">
        <f>DATEDIF(Table1_1[[#This Row],[Order Date]],Table1_1[[#This Row],[Ship Date]],"D")</f>
        <v>6</v>
      </c>
    </row>
    <row r="1212" spans="1:13" x14ac:dyDescent="0.35">
      <c r="A1212" t="s">
        <v>1622</v>
      </c>
      <c r="B1212" t="s">
        <v>23</v>
      </c>
      <c r="C1212" t="s">
        <v>113</v>
      </c>
      <c r="D1212" s="2">
        <v>4337.17</v>
      </c>
      <c r="E1212">
        <v>9</v>
      </c>
      <c r="F1212">
        <v>0.1</v>
      </c>
      <c r="G1212" t="s">
        <v>14</v>
      </c>
      <c r="H1212" t="s">
        <v>21</v>
      </c>
      <c r="I1212" t="s">
        <v>43</v>
      </c>
      <c r="J1212" s="2">
        <f>Table1_1[[#This Row],[Sales]]-Table1_1[[#This Row],[Sales]]*Table1_1[[#This Row],[Discount]]</f>
        <v>3903.453</v>
      </c>
      <c r="K1212" s="1">
        <v>45793</v>
      </c>
      <c r="L1212" s="11">
        <v>45795</v>
      </c>
      <c r="M1212">
        <f>DATEDIF(Table1_1[[#This Row],[Order Date]],Table1_1[[#This Row],[Ship Date]],"D")</f>
        <v>2</v>
      </c>
    </row>
    <row r="1213" spans="1:13" x14ac:dyDescent="0.35">
      <c r="A1213" t="s">
        <v>1623</v>
      </c>
      <c r="B1213" t="s">
        <v>1624</v>
      </c>
      <c r="C1213" t="s">
        <v>223</v>
      </c>
      <c r="D1213" s="2">
        <v>3970.06</v>
      </c>
      <c r="E1213">
        <v>8</v>
      </c>
      <c r="F1213">
        <v>0.2</v>
      </c>
      <c r="G1213" t="s">
        <v>39</v>
      </c>
      <c r="H1213" t="s">
        <v>15</v>
      </c>
      <c r="I1213" t="s">
        <v>20</v>
      </c>
      <c r="J1213" s="2">
        <f>Table1_1[[#This Row],[Sales]]-Table1_1[[#This Row],[Sales]]*Table1_1[[#This Row],[Discount]]</f>
        <v>3176.0479999999998</v>
      </c>
      <c r="K1213" s="1">
        <v>45328</v>
      </c>
      <c r="L1213" s="11">
        <v>45332</v>
      </c>
      <c r="M1213">
        <f>DATEDIF(Table1_1[[#This Row],[Order Date]],Table1_1[[#This Row],[Ship Date]],"D")</f>
        <v>4</v>
      </c>
    </row>
    <row r="1214" spans="1:13" x14ac:dyDescent="0.35">
      <c r="A1214" t="s">
        <v>1625</v>
      </c>
      <c r="B1214" t="s">
        <v>104</v>
      </c>
      <c r="C1214" t="s">
        <v>113</v>
      </c>
      <c r="D1214" s="2">
        <v>3234.04</v>
      </c>
      <c r="E1214">
        <v>10</v>
      </c>
      <c r="F1214">
        <v>0.3</v>
      </c>
      <c r="G1214" t="s">
        <v>14</v>
      </c>
      <c r="H1214" t="s">
        <v>15</v>
      </c>
      <c r="I1214" t="s">
        <v>20</v>
      </c>
      <c r="J1214" s="2">
        <f>Table1_1[[#This Row],[Sales]]-Table1_1[[#This Row],[Sales]]*Table1_1[[#This Row],[Discount]]</f>
        <v>2263.828</v>
      </c>
      <c r="K1214" s="1">
        <v>45580</v>
      </c>
      <c r="L1214" s="11">
        <v>45581</v>
      </c>
      <c r="M1214">
        <f>DATEDIF(Table1_1[[#This Row],[Order Date]],Table1_1[[#This Row],[Ship Date]],"D")</f>
        <v>1</v>
      </c>
    </row>
    <row r="1215" spans="1:13" x14ac:dyDescent="0.35">
      <c r="A1215" t="s">
        <v>1626</v>
      </c>
      <c r="B1215" t="s">
        <v>295</v>
      </c>
      <c r="C1215" t="s">
        <v>262</v>
      </c>
      <c r="D1215" s="2">
        <v>2057.14</v>
      </c>
      <c r="E1215">
        <v>2</v>
      </c>
      <c r="F1215">
        <v>0.3</v>
      </c>
      <c r="G1215" t="s">
        <v>14</v>
      </c>
      <c r="H1215" t="s">
        <v>15</v>
      </c>
      <c r="I1215" t="s">
        <v>16</v>
      </c>
      <c r="J1215" s="2">
        <f>Table1_1[[#This Row],[Sales]]-Table1_1[[#This Row],[Sales]]*Table1_1[[#This Row],[Discount]]</f>
        <v>1439.998</v>
      </c>
      <c r="K1215" s="1">
        <v>45805</v>
      </c>
      <c r="L1215" s="11">
        <v>45808</v>
      </c>
      <c r="M1215">
        <f>DATEDIF(Table1_1[[#This Row],[Order Date]],Table1_1[[#This Row],[Ship Date]],"D")</f>
        <v>3</v>
      </c>
    </row>
    <row r="1216" spans="1:13" x14ac:dyDescent="0.35">
      <c r="A1216" t="s">
        <v>1627</v>
      </c>
      <c r="B1216" t="s">
        <v>894</v>
      </c>
      <c r="C1216" t="s">
        <v>696</v>
      </c>
      <c r="D1216" s="2">
        <v>663.47</v>
      </c>
      <c r="E1216">
        <v>1</v>
      </c>
      <c r="F1216">
        <v>0.1</v>
      </c>
      <c r="G1216" t="s">
        <v>39</v>
      </c>
      <c r="H1216" t="s">
        <v>15</v>
      </c>
      <c r="I1216" t="s">
        <v>16</v>
      </c>
      <c r="J1216" s="2">
        <f>Table1_1[[#This Row],[Sales]]-Table1_1[[#This Row],[Sales]]*Table1_1[[#This Row],[Discount]]</f>
        <v>597.12300000000005</v>
      </c>
      <c r="K1216" s="1">
        <v>45290</v>
      </c>
      <c r="L1216" s="11">
        <v>45291</v>
      </c>
      <c r="M1216">
        <f>DATEDIF(Table1_1[[#This Row],[Order Date]],Table1_1[[#This Row],[Ship Date]],"D")</f>
        <v>1</v>
      </c>
    </row>
    <row r="1217" spans="1:13" x14ac:dyDescent="0.35">
      <c r="A1217" t="s">
        <v>1628</v>
      </c>
      <c r="B1217" t="s">
        <v>258</v>
      </c>
      <c r="C1217" t="s">
        <v>310</v>
      </c>
      <c r="D1217" s="2">
        <v>4562.6499999999996</v>
      </c>
      <c r="E1217">
        <v>5</v>
      </c>
      <c r="F1217">
        <v>0.2</v>
      </c>
      <c r="G1217" t="s">
        <v>14</v>
      </c>
      <c r="H1217" t="s">
        <v>15</v>
      </c>
      <c r="I1217" t="s">
        <v>20</v>
      </c>
      <c r="J1217" s="2">
        <f>Table1_1[[#This Row],[Sales]]-Table1_1[[#This Row],[Sales]]*Table1_1[[#This Row],[Discount]]</f>
        <v>3650.12</v>
      </c>
      <c r="K1217" s="1">
        <v>45780</v>
      </c>
      <c r="L1217" s="11">
        <v>45782</v>
      </c>
      <c r="M1217">
        <f>DATEDIF(Table1_1[[#This Row],[Order Date]],Table1_1[[#This Row],[Ship Date]],"D")</f>
        <v>2</v>
      </c>
    </row>
    <row r="1218" spans="1:13" x14ac:dyDescent="0.35">
      <c r="A1218" t="s">
        <v>1629</v>
      </c>
      <c r="B1218" t="s">
        <v>891</v>
      </c>
      <c r="C1218" t="s">
        <v>135</v>
      </c>
      <c r="D1218" s="2">
        <v>3146.74</v>
      </c>
      <c r="E1218">
        <v>5</v>
      </c>
      <c r="F1218">
        <v>0.1</v>
      </c>
      <c r="G1218" t="s">
        <v>19</v>
      </c>
      <c r="H1218" t="s">
        <v>21</v>
      </c>
      <c r="I1218" t="s">
        <v>43</v>
      </c>
      <c r="J1218" s="2">
        <f>Table1_1[[#This Row],[Sales]]-Table1_1[[#This Row],[Sales]]*Table1_1[[#This Row],[Discount]]</f>
        <v>2832.0659999999998</v>
      </c>
      <c r="K1218" s="1">
        <v>45033</v>
      </c>
      <c r="L1218" s="11">
        <v>45037</v>
      </c>
      <c r="M1218">
        <f>DATEDIF(Table1_1[[#This Row],[Order Date]],Table1_1[[#This Row],[Ship Date]],"D")</f>
        <v>4</v>
      </c>
    </row>
    <row r="1219" spans="1:13" x14ac:dyDescent="0.35">
      <c r="A1219" t="s">
        <v>1630</v>
      </c>
      <c r="B1219" t="s">
        <v>942</v>
      </c>
      <c r="C1219" t="s">
        <v>190</v>
      </c>
      <c r="D1219" s="2">
        <v>793.41</v>
      </c>
      <c r="E1219">
        <v>1</v>
      </c>
      <c r="F1219">
        <v>0.2</v>
      </c>
      <c r="G1219" t="s">
        <v>39</v>
      </c>
      <c r="H1219" t="s">
        <v>21</v>
      </c>
      <c r="I1219" t="s">
        <v>16</v>
      </c>
      <c r="J1219" s="2">
        <f>Table1_1[[#This Row],[Sales]]-Table1_1[[#This Row],[Sales]]*Table1_1[[#This Row],[Discount]]</f>
        <v>634.72799999999995</v>
      </c>
      <c r="K1219" s="1">
        <v>45469</v>
      </c>
      <c r="L1219" s="11">
        <v>45473</v>
      </c>
      <c r="M1219">
        <f>DATEDIF(Table1_1[[#This Row],[Order Date]],Table1_1[[#This Row],[Ship Date]],"D")</f>
        <v>4</v>
      </c>
    </row>
    <row r="1220" spans="1:13" x14ac:dyDescent="0.35">
      <c r="A1220" t="s">
        <v>1631</v>
      </c>
      <c r="B1220" t="s">
        <v>550</v>
      </c>
      <c r="C1220" t="s">
        <v>376</v>
      </c>
      <c r="D1220" s="2">
        <v>3602.45</v>
      </c>
      <c r="E1220">
        <v>7</v>
      </c>
      <c r="F1220">
        <v>0.2</v>
      </c>
      <c r="G1220" t="s">
        <v>14</v>
      </c>
      <c r="H1220" t="s">
        <v>15</v>
      </c>
      <c r="I1220" t="s">
        <v>16</v>
      </c>
      <c r="J1220" s="2">
        <f>Table1_1[[#This Row],[Sales]]-Table1_1[[#This Row],[Sales]]*Table1_1[[#This Row],[Discount]]</f>
        <v>2881.96</v>
      </c>
      <c r="K1220" s="1">
        <v>45605</v>
      </c>
      <c r="L1220" s="11">
        <v>45611</v>
      </c>
      <c r="M1220">
        <f>DATEDIF(Table1_1[[#This Row],[Order Date]],Table1_1[[#This Row],[Ship Date]],"D")</f>
        <v>6</v>
      </c>
    </row>
    <row r="1221" spans="1:13" x14ac:dyDescent="0.35">
      <c r="A1221" t="s">
        <v>1632</v>
      </c>
      <c r="B1221" t="s">
        <v>120</v>
      </c>
      <c r="C1221" t="s">
        <v>108</v>
      </c>
      <c r="D1221" s="2">
        <v>313.36</v>
      </c>
      <c r="E1221">
        <v>10</v>
      </c>
      <c r="F1221">
        <v>0.1</v>
      </c>
      <c r="G1221" t="s">
        <v>14</v>
      </c>
      <c r="H1221" t="s">
        <v>15</v>
      </c>
      <c r="I1221" t="s">
        <v>16</v>
      </c>
      <c r="J1221" s="2">
        <f>Table1_1[[#This Row],[Sales]]-Table1_1[[#This Row],[Sales]]*Table1_1[[#This Row],[Discount]]</f>
        <v>282.024</v>
      </c>
      <c r="K1221" s="1">
        <v>45347</v>
      </c>
      <c r="L1221" s="11">
        <v>45351</v>
      </c>
      <c r="M1221">
        <f>DATEDIF(Table1_1[[#This Row],[Order Date]],Table1_1[[#This Row],[Ship Date]],"D")</f>
        <v>4</v>
      </c>
    </row>
    <row r="1222" spans="1:13" x14ac:dyDescent="0.35">
      <c r="A1222" t="s">
        <v>1633</v>
      </c>
      <c r="B1222" t="s">
        <v>876</v>
      </c>
      <c r="C1222" t="s">
        <v>565</v>
      </c>
      <c r="D1222" s="2">
        <v>2120.1799999999998</v>
      </c>
      <c r="E1222">
        <v>2</v>
      </c>
      <c r="F1222">
        <v>0.1</v>
      </c>
      <c r="G1222" t="s">
        <v>14</v>
      </c>
      <c r="H1222" t="s">
        <v>21</v>
      </c>
      <c r="I1222" t="s">
        <v>20</v>
      </c>
      <c r="J1222" s="2">
        <f>Table1_1[[#This Row],[Sales]]-Table1_1[[#This Row],[Sales]]*Table1_1[[#This Row],[Discount]]</f>
        <v>1908.1619999999998</v>
      </c>
      <c r="K1222" s="1">
        <v>45206</v>
      </c>
      <c r="L1222" s="11">
        <v>45209</v>
      </c>
      <c r="M1222">
        <f>DATEDIF(Table1_1[[#This Row],[Order Date]],Table1_1[[#This Row],[Ship Date]],"D")</f>
        <v>3</v>
      </c>
    </row>
    <row r="1223" spans="1:13" x14ac:dyDescent="0.35">
      <c r="A1223" t="s">
        <v>1634</v>
      </c>
      <c r="B1223" t="s">
        <v>67</v>
      </c>
      <c r="C1223" t="s">
        <v>487</v>
      </c>
      <c r="D1223" s="2">
        <v>2123.71</v>
      </c>
      <c r="E1223">
        <v>9</v>
      </c>
      <c r="F1223">
        <v>0.3</v>
      </c>
      <c r="G1223" t="s">
        <v>39</v>
      </c>
      <c r="H1223" t="s">
        <v>21</v>
      </c>
      <c r="I1223" t="s">
        <v>43</v>
      </c>
      <c r="J1223" s="2">
        <f>Table1_1[[#This Row],[Sales]]-Table1_1[[#This Row],[Sales]]*Table1_1[[#This Row],[Discount]]</f>
        <v>1486.5970000000002</v>
      </c>
      <c r="K1223" s="1">
        <v>45483</v>
      </c>
      <c r="L1223" s="11">
        <v>45488</v>
      </c>
      <c r="M1223">
        <f>DATEDIF(Table1_1[[#This Row],[Order Date]],Table1_1[[#This Row],[Ship Date]],"D")</f>
        <v>5</v>
      </c>
    </row>
    <row r="1224" spans="1:13" x14ac:dyDescent="0.35">
      <c r="A1224" t="s">
        <v>1635</v>
      </c>
      <c r="B1224" t="s">
        <v>25</v>
      </c>
      <c r="C1224" t="s">
        <v>152</v>
      </c>
      <c r="D1224" s="2">
        <v>460</v>
      </c>
      <c r="E1224">
        <v>6</v>
      </c>
      <c r="F1224">
        <v>0.2</v>
      </c>
      <c r="G1224" t="s">
        <v>19</v>
      </c>
      <c r="H1224" t="s">
        <v>15</v>
      </c>
      <c r="I1224" t="s">
        <v>20</v>
      </c>
      <c r="J1224" s="2">
        <f>Table1_1[[#This Row],[Sales]]-Table1_1[[#This Row],[Sales]]*Table1_1[[#This Row],[Discount]]</f>
        <v>368</v>
      </c>
      <c r="K1224" s="1">
        <v>45260</v>
      </c>
      <c r="L1224" s="11">
        <v>45266</v>
      </c>
      <c r="M1224">
        <f>DATEDIF(Table1_1[[#This Row],[Order Date]],Table1_1[[#This Row],[Ship Date]],"D")</f>
        <v>6</v>
      </c>
    </row>
    <row r="1225" spans="1:13" x14ac:dyDescent="0.35">
      <c r="A1225" t="s">
        <v>1636</v>
      </c>
      <c r="B1225" t="s">
        <v>817</v>
      </c>
      <c r="C1225" t="s">
        <v>31</v>
      </c>
      <c r="D1225" s="2">
        <v>1517.49</v>
      </c>
      <c r="E1225">
        <v>2</v>
      </c>
      <c r="F1225">
        <v>0.3</v>
      </c>
      <c r="G1225" t="s">
        <v>14</v>
      </c>
      <c r="H1225" t="s">
        <v>21</v>
      </c>
      <c r="I1225" t="s">
        <v>16</v>
      </c>
      <c r="J1225" s="2">
        <f>Table1_1[[#This Row],[Sales]]-Table1_1[[#This Row],[Sales]]*Table1_1[[#This Row],[Discount]]</f>
        <v>1062.2429999999999</v>
      </c>
      <c r="K1225" s="1">
        <v>45551</v>
      </c>
      <c r="L1225" s="11">
        <v>45558</v>
      </c>
      <c r="M1225">
        <f>DATEDIF(Table1_1[[#This Row],[Order Date]],Table1_1[[#This Row],[Ship Date]],"D")</f>
        <v>7</v>
      </c>
    </row>
    <row r="1226" spans="1:13" x14ac:dyDescent="0.35">
      <c r="A1226" t="s">
        <v>1637</v>
      </c>
      <c r="B1226" t="s">
        <v>349</v>
      </c>
      <c r="C1226" t="s">
        <v>234</v>
      </c>
      <c r="D1226" s="2">
        <v>1541.62</v>
      </c>
      <c r="E1226">
        <v>8</v>
      </c>
      <c r="F1226">
        <v>0</v>
      </c>
      <c r="G1226" t="s">
        <v>14</v>
      </c>
      <c r="H1226" t="s">
        <v>15</v>
      </c>
      <c r="I1226" t="s">
        <v>43</v>
      </c>
      <c r="J1226" s="2">
        <f>Table1_1[[#This Row],[Sales]]-Table1_1[[#This Row],[Sales]]*Table1_1[[#This Row],[Discount]]</f>
        <v>1541.62</v>
      </c>
      <c r="K1226" s="1">
        <v>45032</v>
      </c>
      <c r="L1226" s="11">
        <v>45036</v>
      </c>
      <c r="M1226">
        <f>DATEDIF(Table1_1[[#This Row],[Order Date]],Table1_1[[#This Row],[Ship Date]],"D")</f>
        <v>4</v>
      </c>
    </row>
    <row r="1227" spans="1:13" x14ac:dyDescent="0.35">
      <c r="A1227" t="s">
        <v>1638</v>
      </c>
      <c r="B1227" t="s">
        <v>177</v>
      </c>
      <c r="C1227" t="s">
        <v>448</v>
      </c>
      <c r="D1227" s="2">
        <v>1858.81</v>
      </c>
      <c r="E1227">
        <v>8</v>
      </c>
      <c r="F1227">
        <v>0.2</v>
      </c>
      <c r="G1227" t="s">
        <v>39</v>
      </c>
      <c r="H1227" t="s">
        <v>15</v>
      </c>
      <c r="I1227" t="s">
        <v>43</v>
      </c>
      <c r="J1227" s="2">
        <f>Table1_1[[#This Row],[Sales]]-Table1_1[[#This Row],[Sales]]*Table1_1[[#This Row],[Discount]]</f>
        <v>1487.048</v>
      </c>
      <c r="K1227" s="1">
        <v>45735</v>
      </c>
      <c r="L1227" s="11">
        <v>45738</v>
      </c>
      <c r="M1227">
        <f>DATEDIF(Table1_1[[#This Row],[Order Date]],Table1_1[[#This Row],[Ship Date]],"D")</f>
        <v>3</v>
      </c>
    </row>
    <row r="1228" spans="1:13" x14ac:dyDescent="0.35">
      <c r="A1228" t="s">
        <v>1639</v>
      </c>
      <c r="B1228" t="s">
        <v>391</v>
      </c>
      <c r="C1228" t="s">
        <v>31</v>
      </c>
      <c r="D1228" s="2">
        <v>1555.53</v>
      </c>
      <c r="E1228">
        <v>10</v>
      </c>
      <c r="F1228">
        <v>0.3</v>
      </c>
      <c r="G1228" t="s">
        <v>14</v>
      </c>
      <c r="H1228" t="s">
        <v>15</v>
      </c>
      <c r="I1228" t="s">
        <v>20</v>
      </c>
      <c r="J1228" s="2">
        <f>Table1_1[[#This Row],[Sales]]-Table1_1[[#This Row],[Sales]]*Table1_1[[#This Row],[Discount]]</f>
        <v>1088.8710000000001</v>
      </c>
      <c r="K1228" s="1">
        <v>45560</v>
      </c>
      <c r="L1228" s="11">
        <v>45564</v>
      </c>
      <c r="M1228">
        <f>DATEDIF(Table1_1[[#This Row],[Order Date]],Table1_1[[#This Row],[Ship Date]],"D")</f>
        <v>4</v>
      </c>
    </row>
    <row r="1229" spans="1:13" x14ac:dyDescent="0.35">
      <c r="A1229" t="s">
        <v>1640</v>
      </c>
      <c r="B1229" t="s">
        <v>380</v>
      </c>
      <c r="C1229" t="s">
        <v>128</v>
      </c>
      <c r="D1229" s="2">
        <v>4066.54</v>
      </c>
      <c r="E1229">
        <v>4</v>
      </c>
      <c r="F1229">
        <v>0.2</v>
      </c>
      <c r="G1229" t="s">
        <v>19</v>
      </c>
      <c r="H1229" t="s">
        <v>15</v>
      </c>
      <c r="I1229" t="s">
        <v>43</v>
      </c>
      <c r="J1229" s="2">
        <f>Table1_1[[#This Row],[Sales]]-Table1_1[[#This Row],[Sales]]*Table1_1[[#This Row],[Discount]]</f>
        <v>3253.232</v>
      </c>
      <c r="K1229" s="1">
        <v>45247</v>
      </c>
      <c r="L1229" s="11">
        <v>45248</v>
      </c>
      <c r="M1229">
        <f>DATEDIF(Table1_1[[#This Row],[Order Date]],Table1_1[[#This Row],[Ship Date]],"D")</f>
        <v>1</v>
      </c>
    </row>
    <row r="1230" spans="1:13" x14ac:dyDescent="0.35">
      <c r="A1230" t="s">
        <v>1641</v>
      </c>
      <c r="B1230" t="s">
        <v>1154</v>
      </c>
      <c r="C1230" t="s">
        <v>237</v>
      </c>
      <c r="D1230" s="2">
        <v>1082.3900000000001</v>
      </c>
      <c r="E1230">
        <v>7</v>
      </c>
      <c r="F1230">
        <v>0.3</v>
      </c>
      <c r="G1230" t="s">
        <v>19</v>
      </c>
      <c r="H1230" t="s">
        <v>21</v>
      </c>
      <c r="I1230" t="s">
        <v>20</v>
      </c>
      <c r="J1230" s="2">
        <f>Table1_1[[#This Row],[Sales]]-Table1_1[[#This Row],[Sales]]*Table1_1[[#This Row],[Discount]]</f>
        <v>757.673</v>
      </c>
      <c r="K1230" s="1">
        <v>45196</v>
      </c>
      <c r="L1230" s="11">
        <v>45199</v>
      </c>
      <c r="M1230">
        <f>DATEDIF(Table1_1[[#This Row],[Order Date]],Table1_1[[#This Row],[Ship Date]],"D")</f>
        <v>3</v>
      </c>
    </row>
    <row r="1231" spans="1:13" x14ac:dyDescent="0.35">
      <c r="A1231" t="s">
        <v>1642</v>
      </c>
      <c r="B1231" t="s">
        <v>933</v>
      </c>
      <c r="C1231" t="s">
        <v>175</v>
      </c>
      <c r="D1231" s="2">
        <v>4157.71</v>
      </c>
      <c r="E1231">
        <v>2</v>
      </c>
      <c r="F1231">
        <v>0.2</v>
      </c>
      <c r="G1231" t="s">
        <v>14</v>
      </c>
      <c r="H1231" t="s">
        <v>21</v>
      </c>
      <c r="I1231" t="s">
        <v>20</v>
      </c>
      <c r="J1231" s="2">
        <f>Table1_1[[#This Row],[Sales]]-Table1_1[[#This Row],[Sales]]*Table1_1[[#This Row],[Discount]]</f>
        <v>3326.1680000000001</v>
      </c>
      <c r="K1231" s="1">
        <v>45135</v>
      </c>
      <c r="L1231" s="11">
        <v>45138</v>
      </c>
      <c r="M1231">
        <f>DATEDIF(Table1_1[[#This Row],[Order Date]],Table1_1[[#This Row],[Ship Date]],"D")</f>
        <v>3</v>
      </c>
    </row>
    <row r="1232" spans="1:13" x14ac:dyDescent="0.35">
      <c r="A1232" t="s">
        <v>1643</v>
      </c>
      <c r="B1232" t="s">
        <v>532</v>
      </c>
      <c r="C1232" t="s">
        <v>662</v>
      </c>
      <c r="D1232" s="2">
        <v>874.21</v>
      </c>
      <c r="E1232">
        <v>3</v>
      </c>
      <c r="F1232">
        <v>0.2</v>
      </c>
      <c r="G1232" t="s">
        <v>39</v>
      </c>
      <c r="H1232" t="s">
        <v>15</v>
      </c>
      <c r="I1232" t="s">
        <v>16</v>
      </c>
      <c r="J1232" s="2">
        <f>Table1_1[[#This Row],[Sales]]-Table1_1[[#This Row],[Sales]]*Table1_1[[#This Row],[Discount]]</f>
        <v>699.36800000000005</v>
      </c>
      <c r="K1232" s="1">
        <v>45577</v>
      </c>
      <c r="L1232" s="11">
        <v>45579</v>
      </c>
      <c r="M1232">
        <f>DATEDIF(Table1_1[[#This Row],[Order Date]],Table1_1[[#This Row],[Ship Date]],"D")</f>
        <v>2</v>
      </c>
    </row>
    <row r="1233" spans="1:13" x14ac:dyDescent="0.35">
      <c r="A1233" t="s">
        <v>1644</v>
      </c>
      <c r="B1233" t="s">
        <v>1178</v>
      </c>
      <c r="C1233" t="s">
        <v>175</v>
      </c>
      <c r="D1233" s="2">
        <v>248.42</v>
      </c>
      <c r="E1233">
        <v>9</v>
      </c>
      <c r="F1233">
        <v>0.3</v>
      </c>
      <c r="G1233" t="s">
        <v>19</v>
      </c>
      <c r="H1233" t="s">
        <v>15</v>
      </c>
      <c r="I1233" t="s">
        <v>16</v>
      </c>
      <c r="J1233" s="2">
        <f>Table1_1[[#This Row],[Sales]]-Table1_1[[#This Row],[Sales]]*Table1_1[[#This Row],[Discount]]</f>
        <v>173.89400000000001</v>
      </c>
      <c r="K1233" s="1">
        <v>45335</v>
      </c>
      <c r="L1233" s="11">
        <v>45339</v>
      </c>
      <c r="M1233">
        <f>DATEDIF(Table1_1[[#This Row],[Order Date]],Table1_1[[#This Row],[Ship Date]],"D")</f>
        <v>4</v>
      </c>
    </row>
    <row r="1234" spans="1:13" x14ac:dyDescent="0.35">
      <c r="A1234" t="s">
        <v>1645</v>
      </c>
      <c r="B1234" t="s">
        <v>510</v>
      </c>
      <c r="C1234" t="s">
        <v>376</v>
      </c>
      <c r="D1234" s="2">
        <v>3416.46</v>
      </c>
      <c r="E1234">
        <v>7</v>
      </c>
      <c r="F1234">
        <v>0.2</v>
      </c>
      <c r="G1234" t="s">
        <v>39</v>
      </c>
      <c r="H1234" t="s">
        <v>15</v>
      </c>
      <c r="I1234" t="s">
        <v>16</v>
      </c>
      <c r="J1234" s="2">
        <f>Table1_1[[#This Row],[Sales]]-Table1_1[[#This Row],[Sales]]*Table1_1[[#This Row],[Discount]]</f>
        <v>2733.1680000000001</v>
      </c>
      <c r="K1234" s="1">
        <v>45274</v>
      </c>
      <c r="L1234" s="11">
        <v>45276</v>
      </c>
      <c r="M1234">
        <f>DATEDIF(Table1_1[[#This Row],[Order Date]],Table1_1[[#This Row],[Ship Date]],"D")</f>
        <v>2</v>
      </c>
    </row>
    <row r="1235" spans="1:13" x14ac:dyDescent="0.35">
      <c r="A1235" t="s">
        <v>1646</v>
      </c>
      <c r="B1235" t="s">
        <v>222</v>
      </c>
      <c r="C1235" t="s">
        <v>102</v>
      </c>
      <c r="D1235" s="2">
        <v>2713.41</v>
      </c>
      <c r="E1235">
        <v>4</v>
      </c>
      <c r="F1235">
        <v>0.3</v>
      </c>
      <c r="G1235" t="s">
        <v>14</v>
      </c>
      <c r="H1235" t="s">
        <v>21</v>
      </c>
      <c r="I1235" t="s">
        <v>20</v>
      </c>
      <c r="J1235" s="2">
        <f>Table1_1[[#This Row],[Sales]]-Table1_1[[#This Row],[Sales]]*Table1_1[[#This Row],[Discount]]</f>
        <v>1899.3869999999999</v>
      </c>
      <c r="K1235" s="1">
        <v>45548</v>
      </c>
      <c r="L1235" s="11">
        <v>45549</v>
      </c>
      <c r="M1235">
        <f>DATEDIF(Table1_1[[#This Row],[Order Date]],Table1_1[[#This Row],[Ship Date]],"D")</f>
        <v>1</v>
      </c>
    </row>
    <row r="1236" spans="1:13" x14ac:dyDescent="0.35">
      <c r="A1236" t="s">
        <v>1647</v>
      </c>
      <c r="B1236" t="s">
        <v>782</v>
      </c>
      <c r="C1236" t="s">
        <v>448</v>
      </c>
      <c r="D1236" s="2">
        <v>4242.8900000000003</v>
      </c>
      <c r="E1236">
        <v>3</v>
      </c>
      <c r="F1236">
        <v>0</v>
      </c>
      <c r="G1236" t="s">
        <v>19</v>
      </c>
      <c r="H1236" t="s">
        <v>15</v>
      </c>
      <c r="I1236" t="s">
        <v>16</v>
      </c>
      <c r="J1236" s="2">
        <f>Table1_1[[#This Row],[Sales]]-Table1_1[[#This Row],[Sales]]*Table1_1[[#This Row],[Discount]]</f>
        <v>4242.8900000000003</v>
      </c>
      <c r="K1236" s="1">
        <v>45326</v>
      </c>
      <c r="L1236" s="11">
        <v>45327</v>
      </c>
      <c r="M1236">
        <f>DATEDIF(Table1_1[[#This Row],[Order Date]],Table1_1[[#This Row],[Ship Date]],"D")</f>
        <v>1</v>
      </c>
    </row>
    <row r="1237" spans="1:13" x14ac:dyDescent="0.35">
      <c r="A1237" t="s">
        <v>1648</v>
      </c>
      <c r="B1237" t="s">
        <v>896</v>
      </c>
      <c r="C1237" t="s">
        <v>726</v>
      </c>
      <c r="D1237" s="2">
        <v>4204.2</v>
      </c>
      <c r="E1237">
        <v>10</v>
      </c>
      <c r="F1237">
        <v>0.2</v>
      </c>
      <c r="G1237" t="s">
        <v>14</v>
      </c>
      <c r="H1237" t="s">
        <v>21</v>
      </c>
      <c r="I1237" t="s">
        <v>20</v>
      </c>
      <c r="J1237" s="2">
        <f>Table1_1[[#This Row],[Sales]]-Table1_1[[#This Row],[Sales]]*Table1_1[[#This Row],[Discount]]</f>
        <v>3363.3599999999997</v>
      </c>
      <c r="K1237" s="1">
        <v>45676</v>
      </c>
      <c r="L1237" s="11">
        <v>45682</v>
      </c>
      <c r="M1237">
        <f>DATEDIF(Table1_1[[#This Row],[Order Date]],Table1_1[[#This Row],[Ship Date]],"D")</f>
        <v>6</v>
      </c>
    </row>
    <row r="1238" spans="1:13" x14ac:dyDescent="0.35">
      <c r="A1238" t="s">
        <v>1649</v>
      </c>
      <c r="B1238" t="s">
        <v>650</v>
      </c>
      <c r="C1238" t="s">
        <v>128</v>
      </c>
      <c r="D1238" s="2">
        <v>2372.86</v>
      </c>
      <c r="E1238">
        <v>4</v>
      </c>
      <c r="F1238">
        <v>0.1</v>
      </c>
      <c r="G1238" t="s">
        <v>14</v>
      </c>
      <c r="H1238" t="s">
        <v>15</v>
      </c>
      <c r="I1238" t="s">
        <v>43</v>
      </c>
      <c r="J1238" s="2">
        <f>Table1_1[[#This Row],[Sales]]-Table1_1[[#This Row],[Sales]]*Table1_1[[#This Row],[Discount]]</f>
        <v>2135.5740000000001</v>
      </c>
      <c r="K1238" s="1">
        <v>45601</v>
      </c>
      <c r="L1238" s="11">
        <v>45605</v>
      </c>
      <c r="M1238">
        <f>DATEDIF(Table1_1[[#This Row],[Order Date]],Table1_1[[#This Row],[Ship Date]],"D")</f>
        <v>4</v>
      </c>
    </row>
    <row r="1239" spans="1:13" x14ac:dyDescent="0.35">
      <c r="A1239" t="s">
        <v>1650</v>
      </c>
      <c r="B1239" t="s">
        <v>1651</v>
      </c>
      <c r="C1239" t="s">
        <v>46</v>
      </c>
      <c r="D1239" s="2">
        <v>4124.3999999999996</v>
      </c>
      <c r="E1239">
        <v>1</v>
      </c>
      <c r="F1239">
        <v>0.3</v>
      </c>
      <c r="G1239" t="s">
        <v>14</v>
      </c>
      <c r="H1239" t="s">
        <v>21</v>
      </c>
      <c r="I1239" t="s">
        <v>16</v>
      </c>
      <c r="J1239" s="2">
        <f>Table1_1[[#This Row],[Sales]]-Table1_1[[#This Row],[Sales]]*Table1_1[[#This Row],[Discount]]</f>
        <v>2887.08</v>
      </c>
      <c r="K1239" s="1">
        <v>45811</v>
      </c>
      <c r="L1239" s="11">
        <v>45813</v>
      </c>
      <c r="M1239">
        <f>DATEDIF(Table1_1[[#This Row],[Order Date]],Table1_1[[#This Row],[Ship Date]],"D")</f>
        <v>2</v>
      </c>
    </row>
    <row r="1240" spans="1:13" x14ac:dyDescent="0.35">
      <c r="A1240" t="s">
        <v>1652</v>
      </c>
      <c r="B1240" t="s">
        <v>597</v>
      </c>
      <c r="C1240" t="s">
        <v>243</v>
      </c>
      <c r="D1240" s="2">
        <v>2195.9299999999998</v>
      </c>
      <c r="E1240">
        <v>9</v>
      </c>
      <c r="F1240">
        <v>0</v>
      </c>
      <c r="G1240" t="s">
        <v>14</v>
      </c>
      <c r="H1240" t="s">
        <v>15</v>
      </c>
      <c r="I1240" t="s">
        <v>43</v>
      </c>
      <c r="J1240" s="2">
        <f>Table1_1[[#This Row],[Sales]]-Table1_1[[#This Row],[Sales]]*Table1_1[[#This Row],[Discount]]</f>
        <v>2195.9299999999998</v>
      </c>
      <c r="K1240" s="1">
        <v>45020</v>
      </c>
      <c r="L1240" s="11">
        <v>45027</v>
      </c>
      <c r="M1240">
        <f>DATEDIF(Table1_1[[#This Row],[Order Date]],Table1_1[[#This Row],[Ship Date]],"D")</f>
        <v>7</v>
      </c>
    </row>
    <row r="1241" spans="1:13" x14ac:dyDescent="0.35">
      <c r="A1241" t="s">
        <v>1653</v>
      </c>
      <c r="B1241" t="s">
        <v>1178</v>
      </c>
      <c r="C1241" t="s">
        <v>160</v>
      </c>
      <c r="D1241" s="2">
        <v>1280.9100000000001</v>
      </c>
      <c r="E1241">
        <v>8</v>
      </c>
      <c r="F1241">
        <v>0.2</v>
      </c>
      <c r="G1241" t="s">
        <v>19</v>
      </c>
      <c r="H1241" t="s">
        <v>15</v>
      </c>
      <c r="I1241" t="s">
        <v>20</v>
      </c>
      <c r="J1241" s="2">
        <f>Table1_1[[#This Row],[Sales]]-Table1_1[[#This Row],[Sales]]*Table1_1[[#This Row],[Discount]]</f>
        <v>1024.7280000000001</v>
      </c>
      <c r="K1241" s="1">
        <v>45127</v>
      </c>
      <c r="L1241" s="11">
        <v>45128</v>
      </c>
      <c r="M1241">
        <f>DATEDIF(Table1_1[[#This Row],[Order Date]],Table1_1[[#This Row],[Ship Date]],"D")</f>
        <v>1</v>
      </c>
    </row>
    <row r="1242" spans="1:13" x14ac:dyDescent="0.35">
      <c r="A1242" t="s">
        <v>1654</v>
      </c>
      <c r="B1242" t="s">
        <v>199</v>
      </c>
      <c r="C1242" t="s">
        <v>226</v>
      </c>
      <c r="D1242" s="2">
        <v>1376.19</v>
      </c>
      <c r="E1242">
        <v>2</v>
      </c>
      <c r="F1242">
        <v>0.1</v>
      </c>
      <c r="G1242" t="s">
        <v>14</v>
      </c>
      <c r="H1242" t="s">
        <v>15</v>
      </c>
      <c r="I1242" t="s">
        <v>16</v>
      </c>
      <c r="J1242" s="2">
        <f>Table1_1[[#This Row],[Sales]]-Table1_1[[#This Row],[Sales]]*Table1_1[[#This Row],[Discount]]</f>
        <v>1238.5710000000001</v>
      </c>
      <c r="K1242" s="1">
        <v>45525</v>
      </c>
      <c r="L1242" s="11">
        <v>45531</v>
      </c>
      <c r="M1242">
        <f>DATEDIF(Table1_1[[#This Row],[Order Date]],Table1_1[[#This Row],[Ship Date]],"D")</f>
        <v>6</v>
      </c>
    </row>
    <row r="1243" spans="1:13" x14ac:dyDescent="0.35">
      <c r="A1243" t="s">
        <v>1655</v>
      </c>
      <c r="B1243" t="s">
        <v>387</v>
      </c>
      <c r="C1243" t="s">
        <v>211</v>
      </c>
      <c r="D1243" s="2">
        <v>4996.3500000000004</v>
      </c>
      <c r="E1243">
        <v>3</v>
      </c>
      <c r="F1243">
        <v>0.2</v>
      </c>
      <c r="G1243" t="s">
        <v>14</v>
      </c>
      <c r="H1243" t="s">
        <v>21</v>
      </c>
      <c r="I1243" t="s">
        <v>20</v>
      </c>
      <c r="J1243" s="2">
        <f>Table1_1[[#This Row],[Sales]]-Table1_1[[#This Row],[Sales]]*Table1_1[[#This Row],[Discount]]</f>
        <v>3997.0800000000004</v>
      </c>
      <c r="K1243" s="1">
        <v>45623</v>
      </c>
      <c r="L1243" s="11">
        <v>45630</v>
      </c>
      <c r="M1243">
        <f>DATEDIF(Table1_1[[#This Row],[Order Date]],Table1_1[[#This Row],[Ship Date]],"D")</f>
        <v>7</v>
      </c>
    </row>
    <row r="1244" spans="1:13" x14ac:dyDescent="0.35">
      <c r="A1244" t="s">
        <v>1656</v>
      </c>
      <c r="B1244" t="s">
        <v>466</v>
      </c>
      <c r="C1244" t="s">
        <v>89</v>
      </c>
      <c r="D1244" s="2">
        <v>843.96</v>
      </c>
      <c r="E1244">
        <v>1</v>
      </c>
      <c r="F1244">
        <v>0.1</v>
      </c>
      <c r="G1244" t="s">
        <v>19</v>
      </c>
      <c r="H1244" t="s">
        <v>21</v>
      </c>
      <c r="I1244" t="s">
        <v>43</v>
      </c>
      <c r="J1244" s="2">
        <f>Table1_1[[#This Row],[Sales]]-Table1_1[[#This Row],[Sales]]*Table1_1[[#This Row],[Discount]]</f>
        <v>759.56400000000008</v>
      </c>
      <c r="K1244" s="1">
        <v>44950</v>
      </c>
      <c r="L1244" s="11">
        <v>44956</v>
      </c>
      <c r="M1244">
        <f>DATEDIF(Table1_1[[#This Row],[Order Date]],Table1_1[[#This Row],[Ship Date]],"D")</f>
        <v>6</v>
      </c>
    </row>
    <row r="1245" spans="1:13" x14ac:dyDescent="0.35">
      <c r="A1245" t="s">
        <v>1657</v>
      </c>
      <c r="B1245" t="s">
        <v>599</v>
      </c>
      <c r="C1245" t="s">
        <v>143</v>
      </c>
      <c r="D1245" s="2">
        <v>1807.68</v>
      </c>
      <c r="E1245">
        <v>9</v>
      </c>
      <c r="F1245">
        <v>0.2</v>
      </c>
      <c r="G1245" t="s">
        <v>14</v>
      </c>
      <c r="H1245" t="s">
        <v>15</v>
      </c>
      <c r="I1245" t="s">
        <v>16</v>
      </c>
      <c r="J1245" s="2">
        <f>Table1_1[[#This Row],[Sales]]-Table1_1[[#This Row],[Sales]]*Table1_1[[#This Row],[Discount]]</f>
        <v>1446.144</v>
      </c>
      <c r="K1245" s="1">
        <v>45531</v>
      </c>
      <c r="L1245" s="11">
        <v>45536</v>
      </c>
      <c r="M1245">
        <f>DATEDIF(Table1_1[[#This Row],[Order Date]],Table1_1[[#This Row],[Ship Date]],"D")</f>
        <v>5</v>
      </c>
    </row>
    <row r="1246" spans="1:13" x14ac:dyDescent="0.35">
      <c r="A1246" t="s">
        <v>1658</v>
      </c>
      <c r="B1246" t="s">
        <v>632</v>
      </c>
      <c r="C1246" t="s">
        <v>42</v>
      </c>
      <c r="D1246" s="2">
        <v>4293.54</v>
      </c>
      <c r="E1246">
        <v>9</v>
      </c>
      <c r="F1246">
        <v>0.2</v>
      </c>
      <c r="G1246" t="s">
        <v>14</v>
      </c>
      <c r="H1246" t="s">
        <v>15</v>
      </c>
      <c r="I1246" t="s">
        <v>43</v>
      </c>
      <c r="J1246" s="2">
        <f>Table1_1[[#This Row],[Sales]]-Table1_1[[#This Row],[Sales]]*Table1_1[[#This Row],[Discount]]</f>
        <v>3434.8319999999999</v>
      </c>
      <c r="K1246" s="1">
        <v>45107</v>
      </c>
      <c r="L1246" s="11">
        <v>45110</v>
      </c>
      <c r="M1246">
        <f>DATEDIF(Table1_1[[#This Row],[Order Date]],Table1_1[[#This Row],[Ship Date]],"D")</f>
        <v>3</v>
      </c>
    </row>
    <row r="1247" spans="1:13" x14ac:dyDescent="0.35">
      <c r="A1247" t="s">
        <v>1659</v>
      </c>
      <c r="B1247" t="s">
        <v>347</v>
      </c>
      <c r="C1247" t="s">
        <v>318</v>
      </c>
      <c r="D1247" s="2">
        <v>4356.8</v>
      </c>
      <c r="E1247">
        <v>2</v>
      </c>
      <c r="F1247">
        <v>0.3</v>
      </c>
      <c r="G1247" t="s">
        <v>19</v>
      </c>
      <c r="H1247" t="s">
        <v>21</v>
      </c>
      <c r="I1247" t="s">
        <v>20</v>
      </c>
      <c r="J1247" s="2">
        <f>Table1_1[[#This Row],[Sales]]-Table1_1[[#This Row],[Sales]]*Table1_1[[#This Row],[Discount]]</f>
        <v>3049.76</v>
      </c>
      <c r="K1247" s="1">
        <v>45344</v>
      </c>
      <c r="L1247" s="11">
        <v>45345</v>
      </c>
      <c r="M1247">
        <f>DATEDIF(Table1_1[[#This Row],[Order Date]],Table1_1[[#This Row],[Ship Date]],"D")</f>
        <v>1</v>
      </c>
    </row>
    <row r="1248" spans="1:13" x14ac:dyDescent="0.35">
      <c r="A1248" t="s">
        <v>1660</v>
      </c>
      <c r="B1248" t="s">
        <v>778</v>
      </c>
      <c r="C1248" t="s">
        <v>278</v>
      </c>
      <c r="D1248" s="2">
        <v>3667.01</v>
      </c>
      <c r="E1248">
        <v>1</v>
      </c>
      <c r="F1248">
        <v>0.2</v>
      </c>
      <c r="G1248" t="s">
        <v>14</v>
      </c>
      <c r="H1248" t="s">
        <v>21</v>
      </c>
      <c r="I1248" t="s">
        <v>16</v>
      </c>
      <c r="J1248" s="2">
        <f>Table1_1[[#This Row],[Sales]]-Table1_1[[#This Row],[Sales]]*Table1_1[[#This Row],[Discount]]</f>
        <v>2933.6080000000002</v>
      </c>
      <c r="K1248" s="1">
        <v>45480</v>
      </c>
      <c r="L1248" s="11">
        <v>45484</v>
      </c>
      <c r="M1248">
        <f>DATEDIF(Table1_1[[#This Row],[Order Date]],Table1_1[[#This Row],[Ship Date]],"D")</f>
        <v>4</v>
      </c>
    </row>
    <row r="1249" spans="1:13" x14ac:dyDescent="0.35">
      <c r="A1249" t="s">
        <v>1661</v>
      </c>
      <c r="B1249" t="s">
        <v>632</v>
      </c>
      <c r="C1249" t="s">
        <v>143</v>
      </c>
      <c r="D1249" s="2">
        <v>1259.83</v>
      </c>
      <c r="E1249">
        <v>5</v>
      </c>
      <c r="F1249">
        <v>0</v>
      </c>
      <c r="G1249" t="s">
        <v>19</v>
      </c>
      <c r="H1249" t="s">
        <v>15</v>
      </c>
      <c r="I1249" t="s">
        <v>20</v>
      </c>
      <c r="J1249" s="2">
        <f>Table1_1[[#This Row],[Sales]]-Table1_1[[#This Row],[Sales]]*Table1_1[[#This Row],[Discount]]</f>
        <v>1259.83</v>
      </c>
      <c r="K1249" s="1">
        <v>45459</v>
      </c>
      <c r="L1249" s="11">
        <v>45465</v>
      </c>
      <c r="M1249">
        <f>DATEDIF(Table1_1[[#This Row],[Order Date]],Table1_1[[#This Row],[Ship Date]],"D")</f>
        <v>6</v>
      </c>
    </row>
    <row r="1250" spans="1:13" x14ac:dyDescent="0.35">
      <c r="A1250" t="s">
        <v>1662</v>
      </c>
      <c r="B1250" t="s">
        <v>1529</v>
      </c>
      <c r="C1250" t="s">
        <v>34</v>
      </c>
      <c r="D1250" s="2">
        <v>2715.75</v>
      </c>
      <c r="E1250">
        <v>1</v>
      </c>
      <c r="F1250">
        <v>0.2</v>
      </c>
      <c r="G1250" t="s">
        <v>14</v>
      </c>
      <c r="H1250" t="s">
        <v>21</v>
      </c>
      <c r="I1250" t="s">
        <v>16</v>
      </c>
      <c r="J1250" s="2">
        <f>Table1_1[[#This Row],[Sales]]-Table1_1[[#This Row],[Sales]]*Table1_1[[#This Row],[Discount]]</f>
        <v>2172.6</v>
      </c>
      <c r="K1250" s="1">
        <v>45437</v>
      </c>
      <c r="L1250" s="11">
        <v>45444</v>
      </c>
      <c r="M1250">
        <f>DATEDIF(Table1_1[[#This Row],[Order Date]],Table1_1[[#This Row],[Ship Date]],"D")</f>
        <v>7</v>
      </c>
    </row>
    <row r="1251" spans="1:13" x14ac:dyDescent="0.35">
      <c r="A1251" t="s">
        <v>1663</v>
      </c>
      <c r="B1251" t="s">
        <v>338</v>
      </c>
      <c r="C1251" t="s">
        <v>291</v>
      </c>
      <c r="D1251" s="2">
        <v>2204.81</v>
      </c>
      <c r="E1251">
        <v>2</v>
      </c>
      <c r="F1251">
        <v>0.2</v>
      </c>
      <c r="G1251" t="s">
        <v>14</v>
      </c>
      <c r="H1251" t="s">
        <v>21</v>
      </c>
      <c r="I1251" t="s">
        <v>16</v>
      </c>
      <c r="J1251" s="2">
        <f>Table1_1[[#This Row],[Sales]]-Table1_1[[#This Row],[Sales]]*Table1_1[[#This Row],[Discount]]</f>
        <v>1763.848</v>
      </c>
      <c r="K1251" s="1">
        <v>45217</v>
      </c>
      <c r="L1251" s="11">
        <v>45223</v>
      </c>
      <c r="M1251">
        <f>DATEDIF(Table1_1[[#This Row],[Order Date]],Table1_1[[#This Row],[Ship Date]],"D")</f>
        <v>6</v>
      </c>
    </row>
    <row r="1252" spans="1:13" x14ac:dyDescent="0.35">
      <c r="A1252" t="s">
        <v>1664</v>
      </c>
      <c r="B1252" t="s">
        <v>738</v>
      </c>
      <c r="C1252" t="s">
        <v>229</v>
      </c>
      <c r="D1252" s="2">
        <v>2140.02</v>
      </c>
      <c r="E1252">
        <v>7</v>
      </c>
      <c r="F1252">
        <v>0.1</v>
      </c>
      <c r="G1252" t="s">
        <v>19</v>
      </c>
      <c r="H1252" t="s">
        <v>21</v>
      </c>
      <c r="I1252" t="s">
        <v>20</v>
      </c>
      <c r="J1252" s="2">
        <f>Table1_1[[#This Row],[Sales]]-Table1_1[[#This Row],[Sales]]*Table1_1[[#This Row],[Discount]]</f>
        <v>1926.018</v>
      </c>
      <c r="K1252" s="1">
        <v>45418</v>
      </c>
      <c r="L1252" s="11">
        <v>45422</v>
      </c>
      <c r="M1252">
        <f>DATEDIF(Table1_1[[#This Row],[Order Date]],Table1_1[[#This Row],[Ship Date]],"D")</f>
        <v>4</v>
      </c>
    </row>
    <row r="1253" spans="1:13" x14ac:dyDescent="0.35">
      <c r="A1253" t="s">
        <v>1665</v>
      </c>
      <c r="B1253" t="s">
        <v>303</v>
      </c>
      <c r="C1253" t="s">
        <v>458</v>
      </c>
      <c r="D1253" s="2">
        <v>3737.8</v>
      </c>
      <c r="E1253">
        <v>9</v>
      </c>
      <c r="F1253">
        <v>0.2</v>
      </c>
      <c r="G1253" t="s">
        <v>39</v>
      </c>
      <c r="H1253" t="s">
        <v>15</v>
      </c>
      <c r="I1253" t="s">
        <v>16</v>
      </c>
      <c r="J1253" s="2">
        <f>Table1_1[[#This Row],[Sales]]-Table1_1[[#This Row],[Sales]]*Table1_1[[#This Row],[Discount]]</f>
        <v>2990.2400000000002</v>
      </c>
      <c r="K1253" s="1">
        <v>44993</v>
      </c>
      <c r="L1253" s="11">
        <v>44999</v>
      </c>
      <c r="M1253">
        <f>DATEDIF(Table1_1[[#This Row],[Order Date]],Table1_1[[#This Row],[Ship Date]],"D")</f>
        <v>6</v>
      </c>
    </row>
    <row r="1254" spans="1:13" x14ac:dyDescent="0.35">
      <c r="A1254" t="s">
        <v>1666</v>
      </c>
      <c r="B1254" t="s">
        <v>333</v>
      </c>
      <c r="C1254" t="s">
        <v>160</v>
      </c>
      <c r="D1254" s="2">
        <v>2757.86</v>
      </c>
      <c r="E1254">
        <v>6</v>
      </c>
      <c r="F1254">
        <v>0.1</v>
      </c>
      <c r="G1254" t="s">
        <v>14</v>
      </c>
      <c r="H1254" t="s">
        <v>21</v>
      </c>
      <c r="I1254" t="s">
        <v>16</v>
      </c>
      <c r="J1254" s="2">
        <f>Table1_1[[#This Row],[Sales]]-Table1_1[[#This Row],[Sales]]*Table1_1[[#This Row],[Discount]]</f>
        <v>2482.0740000000001</v>
      </c>
      <c r="K1254" s="1">
        <v>45765</v>
      </c>
      <c r="L1254" s="11">
        <v>45767</v>
      </c>
      <c r="M1254">
        <f>DATEDIF(Table1_1[[#This Row],[Order Date]],Table1_1[[#This Row],[Ship Date]],"D")</f>
        <v>2</v>
      </c>
    </row>
    <row r="1255" spans="1:13" x14ac:dyDescent="0.35">
      <c r="A1255" t="s">
        <v>1667</v>
      </c>
      <c r="B1255" t="s">
        <v>422</v>
      </c>
      <c r="C1255" t="s">
        <v>262</v>
      </c>
      <c r="D1255" s="2">
        <v>4643.71</v>
      </c>
      <c r="E1255">
        <v>6</v>
      </c>
      <c r="F1255">
        <v>0</v>
      </c>
      <c r="G1255" t="s">
        <v>19</v>
      </c>
      <c r="H1255" t="s">
        <v>21</v>
      </c>
      <c r="I1255" t="s">
        <v>43</v>
      </c>
      <c r="J1255" s="2">
        <f>Table1_1[[#This Row],[Sales]]-Table1_1[[#This Row],[Sales]]*Table1_1[[#This Row],[Discount]]</f>
        <v>4643.71</v>
      </c>
      <c r="K1255" s="1">
        <v>45373</v>
      </c>
      <c r="L1255" s="11">
        <v>45380</v>
      </c>
      <c r="M1255">
        <f>DATEDIF(Table1_1[[#This Row],[Order Date]],Table1_1[[#This Row],[Ship Date]],"D")</f>
        <v>7</v>
      </c>
    </row>
    <row r="1256" spans="1:13" x14ac:dyDescent="0.35">
      <c r="A1256" t="s">
        <v>1668</v>
      </c>
      <c r="B1256" t="s">
        <v>396</v>
      </c>
      <c r="C1256" t="s">
        <v>357</v>
      </c>
      <c r="D1256" s="2">
        <v>2136.9499999999998</v>
      </c>
      <c r="E1256">
        <v>10</v>
      </c>
      <c r="F1256">
        <v>0.2</v>
      </c>
      <c r="G1256" t="s">
        <v>19</v>
      </c>
      <c r="H1256" t="s">
        <v>15</v>
      </c>
      <c r="I1256" t="s">
        <v>43</v>
      </c>
      <c r="J1256" s="2">
        <f>Table1_1[[#This Row],[Sales]]-Table1_1[[#This Row],[Sales]]*Table1_1[[#This Row],[Discount]]</f>
        <v>1709.56</v>
      </c>
      <c r="K1256" s="1">
        <v>45501</v>
      </c>
      <c r="L1256" s="11">
        <v>45504</v>
      </c>
      <c r="M1256">
        <f>DATEDIF(Table1_1[[#This Row],[Order Date]],Table1_1[[#This Row],[Ship Date]],"D")</f>
        <v>3</v>
      </c>
    </row>
    <row r="1257" spans="1:13" x14ac:dyDescent="0.35">
      <c r="A1257" t="s">
        <v>1669</v>
      </c>
      <c r="B1257" t="s">
        <v>588</v>
      </c>
      <c r="C1257" t="s">
        <v>68</v>
      </c>
      <c r="D1257" s="2">
        <v>1743.52</v>
      </c>
      <c r="E1257">
        <v>8</v>
      </c>
      <c r="F1257">
        <v>0.3</v>
      </c>
      <c r="G1257" t="s">
        <v>19</v>
      </c>
      <c r="H1257" t="s">
        <v>21</v>
      </c>
      <c r="I1257" t="s">
        <v>43</v>
      </c>
      <c r="J1257" s="2">
        <f>Table1_1[[#This Row],[Sales]]-Table1_1[[#This Row],[Sales]]*Table1_1[[#This Row],[Discount]]</f>
        <v>1220.4639999999999</v>
      </c>
      <c r="K1257" s="1">
        <v>45181</v>
      </c>
      <c r="L1257" s="11">
        <v>45184</v>
      </c>
      <c r="M1257">
        <f>DATEDIF(Table1_1[[#This Row],[Order Date]],Table1_1[[#This Row],[Ship Date]],"D")</f>
        <v>3</v>
      </c>
    </row>
    <row r="1258" spans="1:13" x14ac:dyDescent="0.35">
      <c r="A1258" t="s">
        <v>1670</v>
      </c>
      <c r="B1258" t="s">
        <v>807</v>
      </c>
      <c r="C1258" t="s">
        <v>160</v>
      </c>
      <c r="D1258" s="2">
        <v>1192</v>
      </c>
      <c r="E1258">
        <v>1</v>
      </c>
      <c r="F1258">
        <v>0.2</v>
      </c>
      <c r="G1258" t="s">
        <v>14</v>
      </c>
      <c r="H1258" t="s">
        <v>21</v>
      </c>
      <c r="I1258" t="s">
        <v>16</v>
      </c>
      <c r="J1258" s="2">
        <f>Table1_1[[#This Row],[Sales]]-Table1_1[[#This Row],[Sales]]*Table1_1[[#This Row],[Discount]]</f>
        <v>953.6</v>
      </c>
      <c r="K1258" s="1">
        <v>45381</v>
      </c>
      <c r="L1258" s="11">
        <v>45385</v>
      </c>
      <c r="M1258">
        <f>DATEDIF(Table1_1[[#This Row],[Order Date]],Table1_1[[#This Row],[Ship Date]],"D")</f>
        <v>4</v>
      </c>
    </row>
    <row r="1259" spans="1:13" x14ac:dyDescent="0.35">
      <c r="A1259" t="s">
        <v>1671</v>
      </c>
      <c r="B1259" t="s">
        <v>1166</v>
      </c>
      <c r="C1259" t="s">
        <v>220</v>
      </c>
      <c r="D1259" s="2">
        <v>3468.89</v>
      </c>
      <c r="E1259">
        <v>6</v>
      </c>
      <c r="F1259">
        <v>0</v>
      </c>
      <c r="G1259" t="s">
        <v>19</v>
      </c>
      <c r="H1259" t="s">
        <v>15</v>
      </c>
      <c r="I1259" t="s">
        <v>43</v>
      </c>
      <c r="J1259" s="2">
        <f>Table1_1[[#This Row],[Sales]]-Table1_1[[#This Row],[Sales]]*Table1_1[[#This Row],[Discount]]</f>
        <v>3468.89</v>
      </c>
      <c r="K1259" s="1">
        <v>45549</v>
      </c>
      <c r="L1259" s="11">
        <v>45550</v>
      </c>
      <c r="M1259">
        <f>DATEDIF(Table1_1[[#This Row],[Order Date]],Table1_1[[#This Row],[Ship Date]],"D")</f>
        <v>1</v>
      </c>
    </row>
    <row r="1260" spans="1:13" x14ac:dyDescent="0.35">
      <c r="A1260" t="s">
        <v>1672</v>
      </c>
      <c r="B1260" t="s">
        <v>866</v>
      </c>
      <c r="C1260" t="s">
        <v>125</v>
      </c>
      <c r="D1260" s="2">
        <v>2727.68</v>
      </c>
      <c r="E1260">
        <v>7</v>
      </c>
      <c r="F1260">
        <v>0.1</v>
      </c>
      <c r="G1260" t="s">
        <v>19</v>
      </c>
      <c r="H1260" t="s">
        <v>21</v>
      </c>
      <c r="I1260" t="s">
        <v>20</v>
      </c>
      <c r="J1260" s="2">
        <f>Table1_1[[#This Row],[Sales]]-Table1_1[[#This Row],[Sales]]*Table1_1[[#This Row],[Discount]]</f>
        <v>2454.9119999999998</v>
      </c>
      <c r="K1260" s="1">
        <v>45000</v>
      </c>
      <c r="L1260" s="11">
        <v>45001</v>
      </c>
      <c r="M1260">
        <f>DATEDIF(Table1_1[[#This Row],[Order Date]],Table1_1[[#This Row],[Ship Date]],"D")</f>
        <v>1</v>
      </c>
    </row>
    <row r="1261" spans="1:13" x14ac:dyDescent="0.35">
      <c r="A1261" t="s">
        <v>1673</v>
      </c>
      <c r="B1261" t="s">
        <v>1057</v>
      </c>
      <c r="C1261" t="s">
        <v>259</v>
      </c>
      <c r="D1261" s="2">
        <v>2784.77</v>
      </c>
      <c r="E1261">
        <v>2</v>
      </c>
      <c r="F1261">
        <v>0.3</v>
      </c>
      <c r="G1261" t="s">
        <v>39</v>
      </c>
      <c r="H1261" t="s">
        <v>21</v>
      </c>
      <c r="I1261" t="s">
        <v>20</v>
      </c>
      <c r="J1261" s="2">
        <f>Table1_1[[#This Row],[Sales]]-Table1_1[[#This Row],[Sales]]*Table1_1[[#This Row],[Discount]]</f>
        <v>1949.3389999999999</v>
      </c>
      <c r="K1261" s="1">
        <v>45484</v>
      </c>
      <c r="L1261" s="11">
        <v>45488</v>
      </c>
      <c r="M1261">
        <f>DATEDIF(Table1_1[[#This Row],[Order Date]],Table1_1[[#This Row],[Ship Date]],"D")</f>
        <v>4</v>
      </c>
    </row>
    <row r="1262" spans="1:13" x14ac:dyDescent="0.35">
      <c r="A1262" t="s">
        <v>1674</v>
      </c>
      <c r="B1262" t="s">
        <v>117</v>
      </c>
      <c r="C1262" t="s">
        <v>318</v>
      </c>
      <c r="D1262" s="2">
        <v>1533.53</v>
      </c>
      <c r="E1262">
        <v>3</v>
      </c>
      <c r="F1262">
        <v>0.1</v>
      </c>
      <c r="G1262" t="s">
        <v>14</v>
      </c>
      <c r="H1262" t="s">
        <v>15</v>
      </c>
      <c r="I1262" t="s">
        <v>20</v>
      </c>
      <c r="J1262" s="2">
        <f>Table1_1[[#This Row],[Sales]]-Table1_1[[#This Row],[Sales]]*Table1_1[[#This Row],[Discount]]</f>
        <v>1380.1769999999999</v>
      </c>
      <c r="K1262" s="1">
        <v>45713</v>
      </c>
      <c r="L1262" s="11">
        <v>45715</v>
      </c>
      <c r="M1262">
        <f>DATEDIF(Table1_1[[#This Row],[Order Date]],Table1_1[[#This Row],[Ship Date]],"D")</f>
        <v>2</v>
      </c>
    </row>
    <row r="1263" spans="1:13" x14ac:dyDescent="0.35">
      <c r="A1263" t="s">
        <v>1675</v>
      </c>
      <c r="B1263" t="s">
        <v>199</v>
      </c>
      <c r="C1263" t="s">
        <v>214</v>
      </c>
      <c r="D1263" s="2">
        <v>3776.99</v>
      </c>
      <c r="E1263">
        <v>8</v>
      </c>
      <c r="F1263">
        <v>0.3</v>
      </c>
      <c r="G1263" t="s">
        <v>39</v>
      </c>
      <c r="H1263" t="s">
        <v>15</v>
      </c>
      <c r="I1263" t="s">
        <v>43</v>
      </c>
      <c r="J1263" s="2">
        <f>Table1_1[[#This Row],[Sales]]-Table1_1[[#This Row],[Sales]]*Table1_1[[#This Row],[Discount]]</f>
        <v>2643.893</v>
      </c>
      <c r="K1263" s="1">
        <v>45507</v>
      </c>
      <c r="L1263" s="11">
        <v>45509</v>
      </c>
      <c r="M1263">
        <f>DATEDIF(Table1_1[[#This Row],[Order Date]],Table1_1[[#This Row],[Ship Date]],"D")</f>
        <v>2</v>
      </c>
    </row>
    <row r="1264" spans="1:13" x14ac:dyDescent="0.35">
      <c r="A1264" t="s">
        <v>1676</v>
      </c>
      <c r="B1264" t="s">
        <v>590</v>
      </c>
      <c r="C1264" t="s">
        <v>62</v>
      </c>
      <c r="D1264" s="2">
        <v>660.74</v>
      </c>
      <c r="E1264">
        <v>7</v>
      </c>
      <c r="F1264">
        <v>0.1</v>
      </c>
      <c r="G1264" t="s">
        <v>14</v>
      </c>
      <c r="H1264" t="s">
        <v>15</v>
      </c>
      <c r="I1264" t="s">
        <v>16</v>
      </c>
      <c r="J1264" s="2">
        <f>Table1_1[[#This Row],[Sales]]-Table1_1[[#This Row],[Sales]]*Table1_1[[#This Row],[Discount]]</f>
        <v>594.66600000000005</v>
      </c>
      <c r="K1264" s="1">
        <v>45509</v>
      </c>
      <c r="L1264" s="11">
        <v>45516</v>
      </c>
      <c r="M1264">
        <f>DATEDIF(Table1_1[[#This Row],[Order Date]],Table1_1[[#This Row],[Ship Date]],"D")</f>
        <v>7</v>
      </c>
    </row>
    <row r="1265" spans="1:13" x14ac:dyDescent="0.35">
      <c r="A1265" t="s">
        <v>1677</v>
      </c>
      <c r="B1265" t="s">
        <v>431</v>
      </c>
      <c r="C1265" t="s">
        <v>26</v>
      </c>
      <c r="D1265" s="2">
        <v>2445.94</v>
      </c>
      <c r="E1265">
        <v>4</v>
      </c>
      <c r="F1265">
        <v>0</v>
      </c>
      <c r="G1265" t="s">
        <v>19</v>
      </c>
      <c r="H1265" t="s">
        <v>21</v>
      </c>
      <c r="I1265" t="s">
        <v>20</v>
      </c>
      <c r="J1265" s="2">
        <f>Table1_1[[#This Row],[Sales]]-Table1_1[[#This Row],[Sales]]*Table1_1[[#This Row],[Discount]]</f>
        <v>2445.94</v>
      </c>
      <c r="K1265" s="1">
        <v>45624</v>
      </c>
      <c r="L1265" s="11">
        <v>45627</v>
      </c>
      <c r="M1265">
        <f>DATEDIF(Table1_1[[#This Row],[Order Date]],Table1_1[[#This Row],[Ship Date]],"D")</f>
        <v>3</v>
      </c>
    </row>
    <row r="1266" spans="1:13" x14ac:dyDescent="0.35">
      <c r="A1266" t="s">
        <v>1678</v>
      </c>
      <c r="B1266" t="s">
        <v>998</v>
      </c>
      <c r="C1266" t="s">
        <v>166</v>
      </c>
      <c r="D1266" s="2">
        <v>1166.49</v>
      </c>
      <c r="E1266">
        <v>3</v>
      </c>
      <c r="F1266">
        <v>0.2</v>
      </c>
      <c r="G1266" t="s">
        <v>14</v>
      </c>
      <c r="H1266" t="s">
        <v>15</v>
      </c>
      <c r="I1266" t="s">
        <v>43</v>
      </c>
      <c r="J1266" s="2">
        <f>Table1_1[[#This Row],[Sales]]-Table1_1[[#This Row],[Sales]]*Table1_1[[#This Row],[Discount]]</f>
        <v>933.19200000000001</v>
      </c>
      <c r="K1266" s="1">
        <v>45377</v>
      </c>
      <c r="L1266" s="11">
        <v>45378</v>
      </c>
      <c r="M1266">
        <f>DATEDIF(Table1_1[[#This Row],[Order Date]],Table1_1[[#This Row],[Ship Date]],"D")</f>
        <v>1</v>
      </c>
    </row>
    <row r="1267" spans="1:13" x14ac:dyDescent="0.35">
      <c r="A1267" t="s">
        <v>1679</v>
      </c>
      <c r="B1267" t="s">
        <v>284</v>
      </c>
      <c r="C1267" t="s">
        <v>169</v>
      </c>
      <c r="D1267" s="2">
        <v>4692.3500000000004</v>
      </c>
      <c r="E1267">
        <v>1</v>
      </c>
      <c r="F1267">
        <v>0.2</v>
      </c>
      <c r="G1267" t="s">
        <v>19</v>
      </c>
      <c r="H1267" t="s">
        <v>21</v>
      </c>
      <c r="I1267" t="s">
        <v>43</v>
      </c>
      <c r="J1267" s="2">
        <f>Table1_1[[#This Row],[Sales]]-Table1_1[[#This Row],[Sales]]*Table1_1[[#This Row],[Discount]]</f>
        <v>3753.88</v>
      </c>
      <c r="K1267" s="1">
        <v>45760</v>
      </c>
      <c r="L1267" s="11">
        <v>45763</v>
      </c>
      <c r="M1267">
        <f>DATEDIF(Table1_1[[#This Row],[Order Date]],Table1_1[[#This Row],[Ship Date]],"D")</f>
        <v>3</v>
      </c>
    </row>
    <row r="1268" spans="1:13" x14ac:dyDescent="0.35">
      <c r="A1268" t="s">
        <v>1680</v>
      </c>
      <c r="B1268" t="s">
        <v>219</v>
      </c>
      <c r="C1268" t="s">
        <v>128</v>
      </c>
      <c r="D1268" s="2">
        <v>2061.9699999999998</v>
      </c>
      <c r="E1268">
        <v>10</v>
      </c>
      <c r="F1268">
        <v>0</v>
      </c>
      <c r="G1268" t="s">
        <v>14</v>
      </c>
      <c r="H1268" t="s">
        <v>21</v>
      </c>
      <c r="I1268" t="s">
        <v>16</v>
      </c>
      <c r="J1268" s="2">
        <f>Table1_1[[#This Row],[Sales]]-Table1_1[[#This Row],[Sales]]*Table1_1[[#This Row],[Discount]]</f>
        <v>2061.9699999999998</v>
      </c>
      <c r="K1268" s="1">
        <v>45730</v>
      </c>
      <c r="L1268" s="11">
        <v>45735</v>
      </c>
      <c r="M1268">
        <f>DATEDIF(Table1_1[[#This Row],[Order Date]],Table1_1[[#This Row],[Ship Date]],"D")</f>
        <v>5</v>
      </c>
    </row>
    <row r="1269" spans="1:13" x14ac:dyDescent="0.35">
      <c r="A1269" t="s">
        <v>1681</v>
      </c>
      <c r="B1269" t="s">
        <v>206</v>
      </c>
      <c r="C1269" t="s">
        <v>624</v>
      </c>
      <c r="D1269" s="2">
        <v>342.28</v>
      </c>
      <c r="E1269">
        <v>2</v>
      </c>
      <c r="F1269">
        <v>0</v>
      </c>
      <c r="G1269" t="s">
        <v>39</v>
      </c>
      <c r="H1269" t="s">
        <v>15</v>
      </c>
      <c r="I1269" t="s">
        <v>20</v>
      </c>
      <c r="J1269" s="2">
        <f>Table1_1[[#This Row],[Sales]]-Table1_1[[#This Row],[Sales]]*Table1_1[[#This Row],[Discount]]</f>
        <v>342.28</v>
      </c>
      <c r="K1269" s="1">
        <v>45154</v>
      </c>
      <c r="L1269" s="11">
        <v>45155</v>
      </c>
      <c r="M1269">
        <f>DATEDIF(Table1_1[[#This Row],[Order Date]],Table1_1[[#This Row],[Ship Date]],"D")</f>
        <v>1</v>
      </c>
    </row>
    <row r="1270" spans="1:13" x14ac:dyDescent="0.35">
      <c r="A1270" t="s">
        <v>1682</v>
      </c>
      <c r="B1270" t="s">
        <v>426</v>
      </c>
      <c r="C1270" t="s">
        <v>329</v>
      </c>
      <c r="D1270" s="2">
        <v>4413.41</v>
      </c>
      <c r="E1270">
        <v>7</v>
      </c>
      <c r="F1270">
        <v>0.3</v>
      </c>
      <c r="G1270" t="s">
        <v>19</v>
      </c>
      <c r="H1270" t="s">
        <v>21</v>
      </c>
      <c r="I1270" t="s">
        <v>16</v>
      </c>
      <c r="J1270" s="2">
        <f>Table1_1[[#This Row],[Sales]]-Table1_1[[#This Row],[Sales]]*Table1_1[[#This Row],[Discount]]</f>
        <v>3089.3869999999997</v>
      </c>
      <c r="K1270" s="1">
        <v>45803</v>
      </c>
      <c r="L1270" s="11">
        <v>45804</v>
      </c>
      <c r="M1270">
        <f>DATEDIF(Table1_1[[#This Row],[Order Date]],Table1_1[[#This Row],[Ship Date]],"D")</f>
        <v>1</v>
      </c>
    </row>
    <row r="1271" spans="1:13" x14ac:dyDescent="0.35">
      <c r="A1271" t="s">
        <v>1683</v>
      </c>
      <c r="B1271" t="s">
        <v>522</v>
      </c>
      <c r="C1271" t="s">
        <v>696</v>
      </c>
      <c r="D1271" s="2">
        <v>2060.31</v>
      </c>
      <c r="E1271">
        <v>1</v>
      </c>
      <c r="F1271">
        <v>0</v>
      </c>
      <c r="G1271" t="s">
        <v>14</v>
      </c>
      <c r="H1271" t="s">
        <v>15</v>
      </c>
      <c r="I1271" t="s">
        <v>43</v>
      </c>
      <c r="J1271" s="2">
        <f>Table1_1[[#This Row],[Sales]]-Table1_1[[#This Row],[Sales]]*Table1_1[[#This Row],[Discount]]</f>
        <v>2060.31</v>
      </c>
      <c r="K1271" s="1">
        <v>44992</v>
      </c>
      <c r="L1271" s="11">
        <v>44999</v>
      </c>
      <c r="M1271">
        <f>DATEDIF(Table1_1[[#This Row],[Order Date]],Table1_1[[#This Row],[Ship Date]],"D")</f>
        <v>7</v>
      </c>
    </row>
    <row r="1272" spans="1:13" x14ac:dyDescent="0.35">
      <c r="A1272" t="s">
        <v>1684</v>
      </c>
      <c r="B1272" t="s">
        <v>250</v>
      </c>
      <c r="C1272" t="s">
        <v>662</v>
      </c>
      <c r="D1272" s="2">
        <v>3301.55</v>
      </c>
      <c r="E1272">
        <v>3</v>
      </c>
      <c r="F1272">
        <v>0.3</v>
      </c>
      <c r="G1272" t="s">
        <v>39</v>
      </c>
      <c r="H1272" t="s">
        <v>15</v>
      </c>
      <c r="I1272" t="s">
        <v>43</v>
      </c>
      <c r="J1272" s="2">
        <f>Table1_1[[#This Row],[Sales]]-Table1_1[[#This Row],[Sales]]*Table1_1[[#This Row],[Discount]]</f>
        <v>2311.085</v>
      </c>
      <c r="K1272" s="1">
        <v>45658</v>
      </c>
      <c r="L1272" s="11">
        <v>45663</v>
      </c>
      <c r="M1272">
        <f>DATEDIF(Table1_1[[#This Row],[Order Date]],Table1_1[[#This Row],[Ship Date]],"D")</f>
        <v>5</v>
      </c>
    </row>
    <row r="1273" spans="1:13" x14ac:dyDescent="0.35">
      <c r="A1273" t="s">
        <v>1685</v>
      </c>
      <c r="B1273" t="s">
        <v>1034</v>
      </c>
      <c r="C1273" t="s">
        <v>207</v>
      </c>
      <c r="D1273" s="2">
        <v>2085.4</v>
      </c>
      <c r="E1273">
        <v>10</v>
      </c>
      <c r="F1273">
        <v>0</v>
      </c>
      <c r="G1273" t="s">
        <v>19</v>
      </c>
      <c r="H1273" t="s">
        <v>21</v>
      </c>
      <c r="I1273" t="s">
        <v>16</v>
      </c>
      <c r="J1273" s="2">
        <f>Table1_1[[#This Row],[Sales]]-Table1_1[[#This Row],[Sales]]*Table1_1[[#This Row],[Discount]]</f>
        <v>2085.4</v>
      </c>
      <c r="K1273" s="1">
        <v>45180</v>
      </c>
      <c r="L1273" s="11">
        <v>45184</v>
      </c>
      <c r="M1273">
        <f>DATEDIF(Table1_1[[#This Row],[Order Date]],Table1_1[[#This Row],[Ship Date]],"D")</f>
        <v>4</v>
      </c>
    </row>
    <row r="1274" spans="1:13" x14ac:dyDescent="0.35">
      <c r="A1274" t="s">
        <v>1686</v>
      </c>
      <c r="B1274" t="s">
        <v>187</v>
      </c>
      <c r="C1274" t="s">
        <v>152</v>
      </c>
      <c r="D1274" s="2">
        <v>1369.79</v>
      </c>
      <c r="E1274">
        <v>7</v>
      </c>
      <c r="F1274">
        <v>0</v>
      </c>
      <c r="G1274" t="s">
        <v>19</v>
      </c>
      <c r="H1274" t="s">
        <v>21</v>
      </c>
      <c r="I1274" t="s">
        <v>20</v>
      </c>
      <c r="J1274" s="2">
        <f>Table1_1[[#This Row],[Sales]]-Table1_1[[#This Row],[Sales]]*Table1_1[[#This Row],[Discount]]</f>
        <v>1369.79</v>
      </c>
      <c r="K1274" s="1">
        <v>45706</v>
      </c>
      <c r="L1274" s="11">
        <v>45712</v>
      </c>
      <c r="M1274">
        <f>DATEDIF(Table1_1[[#This Row],[Order Date]],Table1_1[[#This Row],[Ship Date]],"D")</f>
        <v>6</v>
      </c>
    </row>
    <row r="1275" spans="1:13" x14ac:dyDescent="0.35">
      <c r="A1275" t="s">
        <v>1687</v>
      </c>
      <c r="B1275" t="s">
        <v>657</v>
      </c>
      <c r="C1275" t="s">
        <v>190</v>
      </c>
      <c r="D1275" s="2">
        <v>4847.54</v>
      </c>
      <c r="E1275">
        <v>8</v>
      </c>
      <c r="F1275">
        <v>0.1</v>
      </c>
      <c r="G1275" t="s">
        <v>39</v>
      </c>
      <c r="H1275" t="s">
        <v>15</v>
      </c>
      <c r="I1275" t="s">
        <v>20</v>
      </c>
      <c r="J1275" s="2">
        <f>Table1_1[[#This Row],[Sales]]-Table1_1[[#This Row],[Sales]]*Table1_1[[#This Row],[Discount]]</f>
        <v>4362.7860000000001</v>
      </c>
      <c r="K1275" s="1">
        <v>45145</v>
      </c>
      <c r="L1275" s="11">
        <v>45150</v>
      </c>
      <c r="M1275">
        <f>DATEDIF(Table1_1[[#This Row],[Order Date]],Table1_1[[#This Row],[Ship Date]],"D")</f>
        <v>5</v>
      </c>
    </row>
    <row r="1276" spans="1:13" x14ac:dyDescent="0.35">
      <c r="A1276" t="s">
        <v>1688</v>
      </c>
      <c r="B1276" t="s">
        <v>1529</v>
      </c>
      <c r="C1276" t="s">
        <v>726</v>
      </c>
      <c r="D1276" s="2">
        <v>2314.89</v>
      </c>
      <c r="E1276">
        <v>1</v>
      </c>
      <c r="F1276">
        <v>0.1</v>
      </c>
      <c r="G1276" t="s">
        <v>14</v>
      </c>
      <c r="H1276" t="s">
        <v>21</v>
      </c>
      <c r="I1276" t="s">
        <v>20</v>
      </c>
      <c r="J1276" s="2">
        <f>Table1_1[[#This Row],[Sales]]-Table1_1[[#This Row],[Sales]]*Table1_1[[#This Row],[Discount]]</f>
        <v>2083.4009999999998</v>
      </c>
      <c r="K1276" s="1">
        <v>44963</v>
      </c>
      <c r="L1276" s="11">
        <v>44967</v>
      </c>
      <c r="M1276">
        <f>DATEDIF(Table1_1[[#This Row],[Order Date]],Table1_1[[#This Row],[Ship Date]],"D")</f>
        <v>4</v>
      </c>
    </row>
    <row r="1277" spans="1:13" x14ac:dyDescent="0.35">
      <c r="A1277" t="s">
        <v>1689</v>
      </c>
      <c r="B1277" t="s">
        <v>250</v>
      </c>
      <c r="C1277" t="s">
        <v>310</v>
      </c>
      <c r="D1277" s="2">
        <v>3493.85</v>
      </c>
      <c r="E1277">
        <v>8</v>
      </c>
      <c r="F1277">
        <v>0.1</v>
      </c>
      <c r="G1277" t="s">
        <v>39</v>
      </c>
      <c r="H1277" t="s">
        <v>15</v>
      </c>
      <c r="I1277" t="s">
        <v>16</v>
      </c>
      <c r="J1277" s="2">
        <f>Table1_1[[#This Row],[Sales]]-Table1_1[[#This Row],[Sales]]*Table1_1[[#This Row],[Discount]]</f>
        <v>3144.4650000000001</v>
      </c>
      <c r="K1277" s="1">
        <v>45261</v>
      </c>
      <c r="L1277" s="11">
        <v>45267</v>
      </c>
      <c r="M1277">
        <f>DATEDIF(Table1_1[[#This Row],[Order Date]],Table1_1[[#This Row],[Ship Date]],"D")</f>
        <v>6</v>
      </c>
    </row>
    <row r="1278" spans="1:13" x14ac:dyDescent="0.35">
      <c r="A1278" t="s">
        <v>1690</v>
      </c>
      <c r="B1278" t="s">
        <v>522</v>
      </c>
      <c r="C1278" t="s">
        <v>108</v>
      </c>
      <c r="D1278" s="2">
        <v>2110</v>
      </c>
      <c r="E1278">
        <v>9</v>
      </c>
      <c r="F1278">
        <v>0.3</v>
      </c>
      <c r="G1278" t="s">
        <v>14</v>
      </c>
      <c r="H1278" t="s">
        <v>15</v>
      </c>
      <c r="I1278" t="s">
        <v>20</v>
      </c>
      <c r="J1278" s="2">
        <f>Table1_1[[#This Row],[Sales]]-Table1_1[[#This Row],[Sales]]*Table1_1[[#This Row],[Discount]]</f>
        <v>1477</v>
      </c>
      <c r="K1278" s="1">
        <v>45028</v>
      </c>
      <c r="L1278" s="11">
        <v>45032</v>
      </c>
      <c r="M1278">
        <f>DATEDIF(Table1_1[[#This Row],[Order Date]],Table1_1[[#This Row],[Ship Date]],"D")</f>
        <v>4</v>
      </c>
    </row>
    <row r="1279" spans="1:13" x14ac:dyDescent="0.35">
      <c r="A1279" t="s">
        <v>1691</v>
      </c>
      <c r="B1279" t="s">
        <v>326</v>
      </c>
      <c r="C1279" t="s">
        <v>197</v>
      </c>
      <c r="D1279" s="2">
        <v>1722.03</v>
      </c>
      <c r="E1279">
        <v>6</v>
      </c>
      <c r="F1279">
        <v>0.1</v>
      </c>
      <c r="G1279" t="s">
        <v>39</v>
      </c>
      <c r="H1279" t="s">
        <v>21</v>
      </c>
      <c r="I1279" t="s">
        <v>20</v>
      </c>
      <c r="J1279" s="2">
        <f>Table1_1[[#This Row],[Sales]]-Table1_1[[#This Row],[Sales]]*Table1_1[[#This Row],[Discount]]</f>
        <v>1549.827</v>
      </c>
      <c r="K1279" s="1">
        <v>45233</v>
      </c>
      <c r="L1279" s="11">
        <v>45236</v>
      </c>
      <c r="M1279">
        <f>DATEDIF(Table1_1[[#This Row],[Order Date]],Table1_1[[#This Row],[Ship Date]],"D")</f>
        <v>3</v>
      </c>
    </row>
    <row r="1280" spans="1:13" x14ac:dyDescent="0.35">
      <c r="A1280" t="s">
        <v>1692</v>
      </c>
      <c r="B1280" t="s">
        <v>396</v>
      </c>
      <c r="C1280" t="s">
        <v>46</v>
      </c>
      <c r="D1280" s="2">
        <v>2228.4</v>
      </c>
      <c r="E1280">
        <v>10</v>
      </c>
      <c r="F1280">
        <v>0</v>
      </c>
      <c r="G1280" t="s">
        <v>19</v>
      </c>
      <c r="H1280" t="s">
        <v>21</v>
      </c>
      <c r="I1280" t="s">
        <v>16</v>
      </c>
      <c r="J1280" s="2">
        <f>Table1_1[[#This Row],[Sales]]-Table1_1[[#This Row],[Sales]]*Table1_1[[#This Row],[Discount]]</f>
        <v>2228.4</v>
      </c>
      <c r="K1280" s="1">
        <v>45820</v>
      </c>
      <c r="L1280" s="11">
        <v>45824</v>
      </c>
      <c r="M1280">
        <f>DATEDIF(Table1_1[[#This Row],[Order Date]],Table1_1[[#This Row],[Ship Date]],"D")</f>
        <v>4</v>
      </c>
    </row>
    <row r="1281" spans="1:13" x14ac:dyDescent="0.35">
      <c r="A1281" t="s">
        <v>1693</v>
      </c>
      <c r="B1281" t="s">
        <v>72</v>
      </c>
      <c r="C1281" t="s">
        <v>89</v>
      </c>
      <c r="D1281" s="2">
        <v>194.98</v>
      </c>
      <c r="E1281">
        <v>7</v>
      </c>
      <c r="F1281">
        <v>0</v>
      </c>
      <c r="G1281" t="s">
        <v>14</v>
      </c>
      <c r="H1281" t="s">
        <v>15</v>
      </c>
      <c r="I1281" t="s">
        <v>16</v>
      </c>
      <c r="J1281" s="2">
        <f>Table1_1[[#This Row],[Sales]]-Table1_1[[#This Row],[Sales]]*Table1_1[[#This Row],[Discount]]</f>
        <v>194.98</v>
      </c>
      <c r="K1281" s="1">
        <v>45543</v>
      </c>
      <c r="L1281" s="11">
        <v>45544</v>
      </c>
      <c r="M1281">
        <f>DATEDIF(Table1_1[[#This Row],[Order Date]],Table1_1[[#This Row],[Ship Date]],"D")</f>
        <v>1</v>
      </c>
    </row>
    <row r="1282" spans="1:13" x14ac:dyDescent="0.35">
      <c r="A1282" t="s">
        <v>1694</v>
      </c>
      <c r="B1282" t="s">
        <v>469</v>
      </c>
      <c r="C1282" t="s">
        <v>251</v>
      </c>
      <c r="D1282" s="2">
        <v>4397.1499999999996</v>
      </c>
      <c r="E1282">
        <v>10</v>
      </c>
      <c r="F1282">
        <v>0</v>
      </c>
      <c r="G1282" t="s">
        <v>39</v>
      </c>
      <c r="H1282" t="s">
        <v>21</v>
      </c>
      <c r="I1282" t="s">
        <v>43</v>
      </c>
      <c r="J1282" s="2">
        <f>Table1_1[[#This Row],[Sales]]-Table1_1[[#This Row],[Sales]]*Table1_1[[#This Row],[Discount]]</f>
        <v>4397.1499999999996</v>
      </c>
      <c r="K1282" s="1">
        <v>45045</v>
      </c>
      <c r="L1282" s="11">
        <v>45046</v>
      </c>
      <c r="M1282">
        <f>DATEDIF(Table1_1[[#This Row],[Order Date]],Table1_1[[#This Row],[Ship Date]],"D")</f>
        <v>1</v>
      </c>
    </row>
    <row r="1283" spans="1:13" x14ac:dyDescent="0.35">
      <c r="A1283" t="s">
        <v>1695</v>
      </c>
      <c r="B1283" t="s">
        <v>541</v>
      </c>
      <c r="C1283" t="s">
        <v>194</v>
      </c>
      <c r="D1283" s="2">
        <v>2897.44</v>
      </c>
      <c r="E1283">
        <v>9</v>
      </c>
      <c r="F1283">
        <v>0.3</v>
      </c>
      <c r="G1283" t="s">
        <v>19</v>
      </c>
      <c r="H1283" t="s">
        <v>15</v>
      </c>
      <c r="I1283" t="s">
        <v>20</v>
      </c>
      <c r="J1283" s="2">
        <f>Table1_1[[#This Row],[Sales]]-Table1_1[[#This Row],[Sales]]*Table1_1[[#This Row],[Discount]]</f>
        <v>2028.2080000000001</v>
      </c>
      <c r="K1283" s="1">
        <v>45229</v>
      </c>
      <c r="L1283" s="11">
        <v>45235</v>
      </c>
      <c r="M1283">
        <f>DATEDIF(Table1_1[[#This Row],[Order Date]],Table1_1[[#This Row],[Ship Date]],"D")</f>
        <v>6</v>
      </c>
    </row>
    <row r="1284" spans="1:13" x14ac:dyDescent="0.35">
      <c r="A1284" t="s">
        <v>1696</v>
      </c>
      <c r="B1284" t="s">
        <v>12</v>
      </c>
      <c r="C1284" t="s">
        <v>354</v>
      </c>
      <c r="D1284" s="2">
        <v>2312.0500000000002</v>
      </c>
      <c r="E1284">
        <v>6</v>
      </c>
      <c r="F1284">
        <v>0.1</v>
      </c>
      <c r="G1284" t="s">
        <v>19</v>
      </c>
      <c r="H1284" t="s">
        <v>15</v>
      </c>
      <c r="I1284" t="s">
        <v>20</v>
      </c>
      <c r="J1284" s="2">
        <f>Table1_1[[#This Row],[Sales]]-Table1_1[[#This Row],[Sales]]*Table1_1[[#This Row],[Discount]]</f>
        <v>2080.8450000000003</v>
      </c>
      <c r="K1284" s="1">
        <v>45370</v>
      </c>
      <c r="L1284" s="11">
        <v>45371</v>
      </c>
      <c r="M1284">
        <f>DATEDIF(Table1_1[[#This Row],[Order Date]],Table1_1[[#This Row],[Ship Date]],"D")</f>
        <v>1</v>
      </c>
    </row>
    <row r="1285" spans="1:13" x14ac:dyDescent="0.35">
      <c r="A1285" t="s">
        <v>1697</v>
      </c>
      <c r="B1285" t="s">
        <v>618</v>
      </c>
      <c r="C1285" t="s">
        <v>217</v>
      </c>
      <c r="D1285" s="2">
        <v>868.12</v>
      </c>
      <c r="E1285">
        <v>5</v>
      </c>
      <c r="F1285">
        <v>0.2</v>
      </c>
      <c r="G1285" t="s">
        <v>14</v>
      </c>
      <c r="H1285" t="s">
        <v>15</v>
      </c>
      <c r="I1285" t="s">
        <v>16</v>
      </c>
      <c r="J1285" s="2">
        <f>Table1_1[[#This Row],[Sales]]-Table1_1[[#This Row],[Sales]]*Table1_1[[#This Row],[Discount]]</f>
        <v>694.49599999999998</v>
      </c>
      <c r="K1285" s="1">
        <v>45763</v>
      </c>
      <c r="L1285" s="11">
        <v>45767</v>
      </c>
      <c r="M1285">
        <f>DATEDIF(Table1_1[[#This Row],[Order Date]],Table1_1[[#This Row],[Ship Date]],"D")</f>
        <v>4</v>
      </c>
    </row>
    <row r="1286" spans="1:13" x14ac:dyDescent="0.35">
      <c r="A1286" t="s">
        <v>1698</v>
      </c>
      <c r="B1286" t="s">
        <v>607</v>
      </c>
      <c r="C1286" t="s">
        <v>113</v>
      </c>
      <c r="D1286" s="2">
        <v>1102.0899999999999</v>
      </c>
      <c r="E1286">
        <v>8</v>
      </c>
      <c r="F1286">
        <v>0.3</v>
      </c>
      <c r="G1286" t="s">
        <v>14</v>
      </c>
      <c r="H1286" t="s">
        <v>21</v>
      </c>
      <c r="I1286" t="s">
        <v>16</v>
      </c>
      <c r="J1286" s="2">
        <f>Table1_1[[#This Row],[Sales]]-Table1_1[[#This Row],[Sales]]*Table1_1[[#This Row],[Discount]]</f>
        <v>771.46299999999997</v>
      </c>
      <c r="K1286" s="1">
        <v>45343</v>
      </c>
      <c r="L1286" s="11">
        <v>45344</v>
      </c>
      <c r="M1286">
        <f>DATEDIF(Table1_1[[#This Row],[Order Date]],Table1_1[[#This Row],[Ship Date]],"D")</f>
        <v>1</v>
      </c>
    </row>
    <row r="1287" spans="1:13" x14ac:dyDescent="0.35">
      <c r="A1287" t="s">
        <v>1699</v>
      </c>
      <c r="B1287" t="s">
        <v>505</v>
      </c>
      <c r="C1287" t="s">
        <v>94</v>
      </c>
      <c r="D1287" s="2">
        <v>1177.5999999999999</v>
      </c>
      <c r="E1287">
        <v>6</v>
      </c>
      <c r="F1287">
        <v>0</v>
      </c>
      <c r="G1287" t="s">
        <v>14</v>
      </c>
      <c r="H1287" t="s">
        <v>21</v>
      </c>
      <c r="I1287" t="s">
        <v>20</v>
      </c>
      <c r="J1287" s="2">
        <f>Table1_1[[#This Row],[Sales]]-Table1_1[[#This Row],[Sales]]*Table1_1[[#This Row],[Discount]]</f>
        <v>1177.5999999999999</v>
      </c>
      <c r="K1287" s="1">
        <v>45508</v>
      </c>
      <c r="L1287" s="11">
        <v>45514</v>
      </c>
      <c r="M1287">
        <f>DATEDIF(Table1_1[[#This Row],[Order Date]],Table1_1[[#This Row],[Ship Date]],"D")</f>
        <v>6</v>
      </c>
    </row>
    <row r="1288" spans="1:13" x14ac:dyDescent="0.35">
      <c r="A1288" t="s">
        <v>1700</v>
      </c>
      <c r="B1288" t="s">
        <v>258</v>
      </c>
      <c r="C1288" t="s">
        <v>450</v>
      </c>
      <c r="D1288" s="2">
        <v>2836.33</v>
      </c>
      <c r="E1288">
        <v>5</v>
      </c>
      <c r="F1288">
        <v>0.2</v>
      </c>
      <c r="G1288" t="s">
        <v>19</v>
      </c>
      <c r="H1288" t="s">
        <v>15</v>
      </c>
      <c r="I1288" t="s">
        <v>43</v>
      </c>
      <c r="J1288" s="2">
        <f>Table1_1[[#This Row],[Sales]]-Table1_1[[#This Row],[Sales]]*Table1_1[[#This Row],[Discount]]</f>
        <v>2269.0639999999999</v>
      </c>
      <c r="K1288" s="1">
        <v>45171</v>
      </c>
      <c r="L1288" s="11">
        <v>45178</v>
      </c>
      <c r="M1288">
        <f>DATEDIF(Table1_1[[#This Row],[Order Date]],Table1_1[[#This Row],[Ship Date]],"D")</f>
        <v>7</v>
      </c>
    </row>
    <row r="1289" spans="1:13" x14ac:dyDescent="0.35">
      <c r="A1289" t="s">
        <v>1701</v>
      </c>
      <c r="B1289" t="s">
        <v>791</v>
      </c>
      <c r="C1289" t="s">
        <v>234</v>
      </c>
      <c r="D1289" s="2">
        <v>1092.1300000000001</v>
      </c>
      <c r="E1289">
        <v>10</v>
      </c>
      <c r="F1289">
        <v>0.1</v>
      </c>
      <c r="G1289" t="s">
        <v>19</v>
      </c>
      <c r="H1289" t="s">
        <v>15</v>
      </c>
      <c r="I1289" t="s">
        <v>43</v>
      </c>
      <c r="J1289" s="2">
        <f>Table1_1[[#This Row],[Sales]]-Table1_1[[#This Row],[Sales]]*Table1_1[[#This Row],[Discount]]</f>
        <v>982.91700000000014</v>
      </c>
      <c r="K1289" s="1">
        <v>45554</v>
      </c>
      <c r="L1289" s="11">
        <v>45561</v>
      </c>
      <c r="M1289">
        <f>DATEDIF(Table1_1[[#This Row],[Order Date]],Table1_1[[#This Row],[Ship Date]],"D")</f>
        <v>7</v>
      </c>
    </row>
    <row r="1290" spans="1:13" x14ac:dyDescent="0.35">
      <c r="A1290" t="s">
        <v>1702</v>
      </c>
      <c r="B1290" t="s">
        <v>28</v>
      </c>
      <c r="C1290" t="s">
        <v>125</v>
      </c>
      <c r="D1290" s="2">
        <v>2432.1999999999998</v>
      </c>
      <c r="E1290">
        <v>10</v>
      </c>
      <c r="F1290">
        <v>0.1</v>
      </c>
      <c r="G1290" t="s">
        <v>14</v>
      </c>
      <c r="H1290" t="s">
        <v>15</v>
      </c>
      <c r="I1290" t="s">
        <v>43</v>
      </c>
      <c r="J1290" s="2">
        <f>Table1_1[[#This Row],[Sales]]-Table1_1[[#This Row],[Sales]]*Table1_1[[#This Row],[Discount]]</f>
        <v>2188.98</v>
      </c>
      <c r="K1290" s="1">
        <v>45714</v>
      </c>
      <c r="L1290" s="11">
        <v>45721</v>
      </c>
      <c r="M1290">
        <f>DATEDIF(Table1_1[[#This Row],[Order Date]],Table1_1[[#This Row],[Ship Date]],"D")</f>
        <v>7</v>
      </c>
    </row>
    <row r="1291" spans="1:13" x14ac:dyDescent="0.35">
      <c r="A1291" t="s">
        <v>1703</v>
      </c>
      <c r="B1291" t="s">
        <v>96</v>
      </c>
      <c r="C1291" t="s">
        <v>240</v>
      </c>
      <c r="D1291" s="2">
        <v>4302.3999999999996</v>
      </c>
      <c r="E1291">
        <v>2</v>
      </c>
      <c r="F1291">
        <v>0</v>
      </c>
      <c r="G1291" t="s">
        <v>19</v>
      </c>
      <c r="H1291" t="s">
        <v>21</v>
      </c>
      <c r="I1291" t="s">
        <v>43</v>
      </c>
      <c r="J1291" s="2">
        <f>Table1_1[[#This Row],[Sales]]-Table1_1[[#This Row],[Sales]]*Table1_1[[#This Row],[Discount]]</f>
        <v>4302.3999999999996</v>
      </c>
      <c r="K1291" s="1">
        <v>45166</v>
      </c>
      <c r="L1291" s="11">
        <v>45171</v>
      </c>
      <c r="M1291">
        <f>DATEDIF(Table1_1[[#This Row],[Order Date]],Table1_1[[#This Row],[Ship Date]],"D")</f>
        <v>5</v>
      </c>
    </row>
    <row r="1292" spans="1:13" x14ac:dyDescent="0.35">
      <c r="A1292" t="s">
        <v>1704</v>
      </c>
      <c r="B1292" t="s">
        <v>840</v>
      </c>
      <c r="C1292" t="s">
        <v>291</v>
      </c>
      <c r="D1292" s="2">
        <v>1289.9100000000001</v>
      </c>
      <c r="E1292">
        <v>3</v>
      </c>
      <c r="F1292">
        <v>0.1</v>
      </c>
      <c r="G1292" t="s">
        <v>19</v>
      </c>
      <c r="H1292" t="s">
        <v>15</v>
      </c>
      <c r="I1292" t="s">
        <v>20</v>
      </c>
      <c r="J1292" s="2">
        <f>Table1_1[[#This Row],[Sales]]-Table1_1[[#This Row],[Sales]]*Table1_1[[#This Row],[Discount]]</f>
        <v>1160.9190000000001</v>
      </c>
      <c r="K1292" s="1">
        <v>45792</v>
      </c>
      <c r="L1292" s="11">
        <v>45793</v>
      </c>
      <c r="M1292">
        <f>DATEDIF(Table1_1[[#This Row],[Order Date]],Table1_1[[#This Row],[Ship Date]],"D")</f>
        <v>1</v>
      </c>
    </row>
    <row r="1293" spans="1:13" x14ac:dyDescent="0.35">
      <c r="A1293" t="s">
        <v>1705</v>
      </c>
      <c r="B1293" t="s">
        <v>817</v>
      </c>
      <c r="C1293" t="s">
        <v>146</v>
      </c>
      <c r="D1293" s="2">
        <v>1770.96</v>
      </c>
      <c r="E1293">
        <v>3</v>
      </c>
      <c r="F1293">
        <v>0.1</v>
      </c>
      <c r="G1293" t="s">
        <v>19</v>
      </c>
      <c r="H1293" t="s">
        <v>21</v>
      </c>
      <c r="I1293" t="s">
        <v>20</v>
      </c>
      <c r="J1293" s="2">
        <f>Table1_1[[#This Row],[Sales]]-Table1_1[[#This Row],[Sales]]*Table1_1[[#This Row],[Discount]]</f>
        <v>1593.864</v>
      </c>
      <c r="K1293" s="1">
        <v>45244</v>
      </c>
      <c r="L1293" s="11">
        <v>45245</v>
      </c>
      <c r="M1293">
        <f>DATEDIF(Table1_1[[#This Row],[Order Date]],Table1_1[[#This Row],[Ship Date]],"D")</f>
        <v>1</v>
      </c>
    </row>
    <row r="1294" spans="1:13" x14ac:dyDescent="0.35">
      <c r="A1294" t="s">
        <v>1706</v>
      </c>
      <c r="B1294" t="s">
        <v>1154</v>
      </c>
      <c r="C1294" t="s">
        <v>62</v>
      </c>
      <c r="D1294" s="2">
        <v>3303.92</v>
      </c>
      <c r="E1294">
        <v>8</v>
      </c>
      <c r="F1294">
        <v>0.1</v>
      </c>
      <c r="G1294" t="s">
        <v>19</v>
      </c>
      <c r="H1294" t="s">
        <v>15</v>
      </c>
      <c r="I1294" t="s">
        <v>43</v>
      </c>
      <c r="J1294" s="2">
        <f>Table1_1[[#This Row],[Sales]]-Table1_1[[#This Row],[Sales]]*Table1_1[[#This Row],[Discount]]</f>
        <v>2973.5280000000002</v>
      </c>
      <c r="K1294" s="1">
        <v>44955</v>
      </c>
      <c r="L1294" s="11">
        <v>44956</v>
      </c>
      <c r="M1294">
        <f>DATEDIF(Table1_1[[#This Row],[Order Date]],Table1_1[[#This Row],[Ship Date]],"D")</f>
        <v>1</v>
      </c>
    </row>
    <row r="1295" spans="1:13" x14ac:dyDescent="0.35">
      <c r="A1295" t="s">
        <v>1707</v>
      </c>
      <c r="B1295" t="s">
        <v>1112</v>
      </c>
      <c r="C1295" t="s">
        <v>318</v>
      </c>
      <c r="D1295" s="2">
        <v>4569.57</v>
      </c>
      <c r="E1295">
        <v>4</v>
      </c>
      <c r="F1295">
        <v>0.1</v>
      </c>
      <c r="G1295" t="s">
        <v>39</v>
      </c>
      <c r="H1295" t="s">
        <v>21</v>
      </c>
      <c r="I1295" t="s">
        <v>20</v>
      </c>
      <c r="J1295" s="2">
        <f>Table1_1[[#This Row],[Sales]]-Table1_1[[#This Row],[Sales]]*Table1_1[[#This Row],[Discount]]</f>
        <v>4112.6129999999994</v>
      </c>
      <c r="K1295" s="1">
        <v>45264</v>
      </c>
      <c r="L1295" s="11">
        <v>45269</v>
      </c>
      <c r="M1295">
        <f>DATEDIF(Table1_1[[#This Row],[Order Date]],Table1_1[[#This Row],[Ship Date]],"D")</f>
        <v>5</v>
      </c>
    </row>
    <row r="1296" spans="1:13" x14ac:dyDescent="0.35">
      <c r="A1296" t="s">
        <v>1708</v>
      </c>
      <c r="B1296" t="s">
        <v>597</v>
      </c>
      <c r="C1296" t="s">
        <v>310</v>
      </c>
      <c r="D1296" s="2">
        <v>580.79999999999995</v>
      </c>
      <c r="E1296">
        <v>6</v>
      </c>
      <c r="F1296">
        <v>0.2</v>
      </c>
      <c r="G1296" t="s">
        <v>14</v>
      </c>
      <c r="H1296" t="s">
        <v>15</v>
      </c>
      <c r="I1296" t="s">
        <v>20</v>
      </c>
      <c r="J1296" s="2">
        <f>Table1_1[[#This Row],[Sales]]-Table1_1[[#This Row],[Sales]]*Table1_1[[#This Row],[Discount]]</f>
        <v>464.64</v>
      </c>
      <c r="K1296" s="1">
        <v>45368</v>
      </c>
      <c r="L1296" s="11">
        <v>45371</v>
      </c>
      <c r="M1296">
        <f>DATEDIF(Table1_1[[#This Row],[Order Date]],Table1_1[[#This Row],[Ship Date]],"D")</f>
        <v>3</v>
      </c>
    </row>
    <row r="1297" spans="1:13" x14ac:dyDescent="0.35">
      <c r="A1297" t="s">
        <v>1709</v>
      </c>
      <c r="B1297" t="s">
        <v>637</v>
      </c>
      <c r="C1297" t="s">
        <v>318</v>
      </c>
      <c r="D1297" s="2">
        <v>4388.25</v>
      </c>
      <c r="E1297">
        <v>8</v>
      </c>
      <c r="F1297">
        <v>0.2</v>
      </c>
      <c r="G1297" t="s">
        <v>19</v>
      </c>
      <c r="H1297" t="s">
        <v>21</v>
      </c>
      <c r="I1297" t="s">
        <v>43</v>
      </c>
      <c r="J1297" s="2">
        <f>Table1_1[[#This Row],[Sales]]-Table1_1[[#This Row],[Sales]]*Table1_1[[#This Row],[Discount]]</f>
        <v>3510.6</v>
      </c>
      <c r="K1297" s="1">
        <v>45534</v>
      </c>
      <c r="L1297" s="11">
        <v>45537</v>
      </c>
      <c r="M1297">
        <f>DATEDIF(Table1_1[[#This Row],[Order Date]],Table1_1[[#This Row],[Ship Date]],"D")</f>
        <v>3</v>
      </c>
    </row>
    <row r="1298" spans="1:13" x14ac:dyDescent="0.35">
      <c r="A1298" t="s">
        <v>1710</v>
      </c>
      <c r="B1298" t="s">
        <v>977</v>
      </c>
      <c r="C1298" t="s">
        <v>223</v>
      </c>
      <c r="D1298" s="2">
        <v>2422.56</v>
      </c>
      <c r="E1298">
        <v>10</v>
      </c>
      <c r="F1298">
        <v>0.2</v>
      </c>
      <c r="G1298" t="s">
        <v>19</v>
      </c>
      <c r="H1298" t="s">
        <v>15</v>
      </c>
      <c r="I1298" t="s">
        <v>43</v>
      </c>
      <c r="J1298" s="2">
        <f>Table1_1[[#This Row],[Sales]]-Table1_1[[#This Row],[Sales]]*Table1_1[[#This Row],[Discount]]</f>
        <v>1938.048</v>
      </c>
      <c r="K1298" s="1">
        <v>45779</v>
      </c>
      <c r="L1298" s="11">
        <v>45786</v>
      </c>
      <c r="M1298">
        <f>DATEDIF(Table1_1[[#This Row],[Order Date]],Table1_1[[#This Row],[Ship Date]],"D")</f>
        <v>7</v>
      </c>
    </row>
    <row r="1299" spans="1:13" x14ac:dyDescent="0.35">
      <c r="A1299" t="s">
        <v>1711</v>
      </c>
      <c r="B1299" t="s">
        <v>72</v>
      </c>
      <c r="C1299" t="s">
        <v>273</v>
      </c>
      <c r="D1299" s="2">
        <v>4291.12</v>
      </c>
      <c r="E1299">
        <v>6</v>
      </c>
      <c r="F1299">
        <v>0.2</v>
      </c>
      <c r="G1299" t="s">
        <v>14</v>
      </c>
      <c r="H1299" t="s">
        <v>21</v>
      </c>
      <c r="I1299" t="s">
        <v>43</v>
      </c>
      <c r="J1299" s="2">
        <f>Table1_1[[#This Row],[Sales]]-Table1_1[[#This Row],[Sales]]*Table1_1[[#This Row],[Discount]]</f>
        <v>3432.8959999999997</v>
      </c>
      <c r="K1299" s="1">
        <v>44949</v>
      </c>
      <c r="L1299" s="11">
        <v>44956</v>
      </c>
      <c r="M1299">
        <f>DATEDIF(Table1_1[[#This Row],[Order Date]],Table1_1[[#This Row],[Ship Date]],"D")</f>
        <v>7</v>
      </c>
    </row>
    <row r="1300" spans="1:13" x14ac:dyDescent="0.35">
      <c r="A1300" t="s">
        <v>1712</v>
      </c>
      <c r="B1300" t="s">
        <v>1034</v>
      </c>
      <c r="C1300" t="s">
        <v>13</v>
      </c>
      <c r="D1300" s="2">
        <v>2006.96</v>
      </c>
      <c r="E1300">
        <v>2</v>
      </c>
      <c r="F1300">
        <v>0.3</v>
      </c>
      <c r="G1300" t="s">
        <v>14</v>
      </c>
      <c r="H1300" t="s">
        <v>15</v>
      </c>
      <c r="I1300" t="s">
        <v>20</v>
      </c>
      <c r="J1300" s="2">
        <f>Table1_1[[#This Row],[Sales]]-Table1_1[[#This Row],[Sales]]*Table1_1[[#This Row],[Discount]]</f>
        <v>1404.8720000000001</v>
      </c>
      <c r="K1300" s="1">
        <v>45738</v>
      </c>
      <c r="L1300" s="11">
        <v>45742</v>
      </c>
      <c r="M1300">
        <f>DATEDIF(Table1_1[[#This Row],[Order Date]],Table1_1[[#This Row],[Ship Date]],"D")</f>
        <v>4</v>
      </c>
    </row>
    <row r="1301" spans="1:13" x14ac:dyDescent="0.35">
      <c r="A1301" t="s">
        <v>1713</v>
      </c>
      <c r="B1301" t="s">
        <v>556</v>
      </c>
      <c r="C1301" t="s">
        <v>278</v>
      </c>
      <c r="D1301" s="2">
        <v>1763.83</v>
      </c>
      <c r="E1301">
        <v>10</v>
      </c>
      <c r="F1301">
        <v>0.2</v>
      </c>
      <c r="G1301" t="s">
        <v>39</v>
      </c>
      <c r="H1301" t="s">
        <v>15</v>
      </c>
      <c r="I1301" t="s">
        <v>43</v>
      </c>
      <c r="J1301" s="2">
        <f>Table1_1[[#This Row],[Sales]]-Table1_1[[#This Row],[Sales]]*Table1_1[[#This Row],[Discount]]</f>
        <v>1411.0639999999999</v>
      </c>
      <c r="K1301" s="1">
        <v>45626</v>
      </c>
      <c r="L1301" s="11">
        <v>45629</v>
      </c>
      <c r="M1301">
        <f>DATEDIF(Table1_1[[#This Row],[Order Date]],Table1_1[[#This Row],[Ship Date]],"D")</f>
        <v>3</v>
      </c>
    </row>
    <row r="1302" spans="1:13" x14ac:dyDescent="0.35">
      <c r="A1302" t="s">
        <v>1714</v>
      </c>
      <c r="B1302" t="s">
        <v>971</v>
      </c>
      <c r="C1302" t="s">
        <v>624</v>
      </c>
      <c r="D1302" s="2">
        <v>4895.84</v>
      </c>
      <c r="E1302">
        <v>4</v>
      </c>
      <c r="F1302">
        <v>0</v>
      </c>
      <c r="G1302" t="s">
        <v>14</v>
      </c>
      <c r="H1302" t="s">
        <v>15</v>
      </c>
      <c r="I1302" t="s">
        <v>16</v>
      </c>
      <c r="J1302" s="2">
        <f>Table1_1[[#This Row],[Sales]]-Table1_1[[#This Row],[Sales]]*Table1_1[[#This Row],[Discount]]</f>
        <v>4895.84</v>
      </c>
      <c r="K1302" s="1">
        <v>45735</v>
      </c>
      <c r="L1302" s="11">
        <v>45737</v>
      </c>
      <c r="M1302">
        <f>DATEDIF(Table1_1[[#This Row],[Order Date]],Table1_1[[#This Row],[Ship Date]],"D")</f>
        <v>2</v>
      </c>
    </row>
    <row r="1303" spans="1:13" x14ac:dyDescent="0.35">
      <c r="A1303" t="s">
        <v>1715</v>
      </c>
      <c r="B1303" t="s">
        <v>301</v>
      </c>
      <c r="C1303" t="s">
        <v>60</v>
      </c>
      <c r="D1303" s="2">
        <v>4366.75</v>
      </c>
      <c r="E1303">
        <v>9</v>
      </c>
      <c r="F1303">
        <v>0.1</v>
      </c>
      <c r="G1303" t="s">
        <v>19</v>
      </c>
      <c r="H1303" t="s">
        <v>21</v>
      </c>
      <c r="I1303" t="s">
        <v>16</v>
      </c>
      <c r="J1303" s="2">
        <f>Table1_1[[#This Row],[Sales]]-Table1_1[[#This Row],[Sales]]*Table1_1[[#This Row],[Discount]]</f>
        <v>3930.0749999999998</v>
      </c>
      <c r="K1303" s="1">
        <v>45002</v>
      </c>
      <c r="L1303" s="11">
        <v>45008</v>
      </c>
      <c r="M1303">
        <f>DATEDIF(Table1_1[[#This Row],[Order Date]],Table1_1[[#This Row],[Ship Date]],"D")</f>
        <v>6</v>
      </c>
    </row>
    <row r="1304" spans="1:13" x14ac:dyDescent="0.35">
      <c r="A1304" t="s">
        <v>1716</v>
      </c>
      <c r="B1304" t="s">
        <v>556</v>
      </c>
      <c r="C1304" t="s">
        <v>125</v>
      </c>
      <c r="D1304" s="2">
        <v>3468.12</v>
      </c>
      <c r="E1304">
        <v>4</v>
      </c>
      <c r="F1304">
        <v>0.3</v>
      </c>
      <c r="G1304" t="s">
        <v>14</v>
      </c>
      <c r="H1304" t="s">
        <v>15</v>
      </c>
      <c r="I1304" t="s">
        <v>20</v>
      </c>
      <c r="J1304" s="2">
        <f>Table1_1[[#This Row],[Sales]]-Table1_1[[#This Row],[Sales]]*Table1_1[[#This Row],[Discount]]</f>
        <v>2427.6840000000002</v>
      </c>
      <c r="K1304" s="1">
        <v>45588</v>
      </c>
      <c r="L1304" s="11">
        <v>45589</v>
      </c>
      <c r="M1304">
        <f>DATEDIF(Table1_1[[#This Row],[Order Date]],Table1_1[[#This Row],[Ship Date]],"D")</f>
        <v>1</v>
      </c>
    </row>
    <row r="1305" spans="1:13" x14ac:dyDescent="0.35">
      <c r="A1305" t="s">
        <v>1717</v>
      </c>
      <c r="B1305" t="s">
        <v>559</v>
      </c>
      <c r="C1305" t="s">
        <v>273</v>
      </c>
      <c r="D1305" s="2">
        <v>4082.53</v>
      </c>
      <c r="E1305">
        <v>6</v>
      </c>
      <c r="F1305">
        <v>0.2</v>
      </c>
      <c r="G1305" t="s">
        <v>14</v>
      </c>
      <c r="H1305" t="s">
        <v>21</v>
      </c>
      <c r="I1305" t="s">
        <v>43</v>
      </c>
      <c r="J1305" s="2">
        <f>Table1_1[[#This Row],[Sales]]-Table1_1[[#This Row],[Sales]]*Table1_1[[#This Row],[Discount]]</f>
        <v>3266.0240000000003</v>
      </c>
      <c r="K1305" s="1">
        <v>45297</v>
      </c>
      <c r="L1305" s="11">
        <v>45300</v>
      </c>
      <c r="M1305">
        <f>DATEDIF(Table1_1[[#This Row],[Order Date]],Table1_1[[#This Row],[Ship Date]],"D")</f>
        <v>3</v>
      </c>
    </row>
    <row r="1306" spans="1:13" x14ac:dyDescent="0.35">
      <c r="A1306" t="s">
        <v>1718</v>
      </c>
      <c r="B1306" t="s">
        <v>1042</v>
      </c>
      <c r="C1306" t="s">
        <v>450</v>
      </c>
      <c r="D1306" s="2">
        <v>4563.1000000000004</v>
      </c>
      <c r="E1306">
        <v>4</v>
      </c>
      <c r="F1306">
        <v>0.1</v>
      </c>
      <c r="G1306" t="s">
        <v>19</v>
      </c>
      <c r="H1306" t="s">
        <v>15</v>
      </c>
      <c r="I1306" t="s">
        <v>43</v>
      </c>
      <c r="J1306" s="2">
        <f>Table1_1[[#This Row],[Sales]]-Table1_1[[#This Row],[Sales]]*Table1_1[[#This Row],[Discount]]</f>
        <v>4106.79</v>
      </c>
      <c r="K1306" s="1">
        <v>45413</v>
      </c>
      <c r="L1306" s="11">
        <v>45414</v>
      </c>
      <c r="M1306">
        <f>DATEDIF(Table1_1[[#This Row],[Order Date]],Table1_1[[#This Row],[Ship Date]],"D")</f>
        <v>1</v>
      </c>
    </row>
    <row r="1307" spans="1:13" x14ac:dyDescent="0.35">
      <c r="A1307" t="s">
        <v>1719</v>
      </c>
      <c r="B1307" t="s">
        <v>691</v>
      </c>
      <c r="C1307" t="s">
        <v>329</v>
      </c>
      <c r="D1307" s="2">
        <v>3058.79</v>
      </c>
      <c r="E1307">
        <v>8</v>
      </c>
      <c r="F1307">
        <v>0</v>
      </c>
      <c r="G1307" t="s">
        <v>14</v>
      </c>
      <c r="H1307" t="s">
        <v>21</v>
      </c>
      <c r="I1307" t="s">
        <v>16</v>
      </c>
      <c r="J1307" s="2">
        <f>Table1_1[[#This Row],[Sales]]-Table1_1[[#This Row],[Sales]]*Table1_1[[#This Row],[Discount]]</f>
        <v>3058.79</v>
      </c>
      <c r="K1307" s="1">
        <v>45659</v>
      </c>
      <c r="L1307" s="11">
        <v>45660</v>
      </c>
      <c r="M1307">
        <f>DATEDIF(Table1_1[[#This Row],[Order Date]],Table1_1[[#This Row],[Ship Date]],"D")</f>
        <v>1</v>
      </c>
    </row>
    <row r="1308" spans="1:13" x14ac:dyDescent="0.35">
      <c r="A1308" t="s">
        <v>1720</v>
      </c>
      <c r="B1308" t="s">
        <v>687</v>
      </c>
      <c r="C1308" t="s">
        <v>443</v>
      </c>
      <c r="D1308" s="2">
        <v>3576.01</v>
      </c>
      <c r="E1308">
        <v>1</v>
      </c>
      <c r="F1308">
        <v>0.2</v>
      </c>
      <c r="G1308" t="s">
        <v>39</v>
      </c>
      <c r="H1308" t="s">
        <v>15</v>
      </c>
      <c r="I1308" t="s">
        <v>20</v>
      </c>
      <c r="J1308" s="2">
        <f>Table1_1[[#This Row],[Sales]]-Table1_1[[#This Row],[Sales]]*Table1_1[[#This Row],[Discount]]</f>
        <v>2860.808</v>
      </c>
      <c r="K1308" s="1">
        <v>45325</v>
      </c>
      <c r="L1308" s="11">
        <v>45330</v>
      </c>
      <c r="M1308">
        <f>DATEDIF(Table1_1[[#This Row],[Order Date]],Table1_1[[#This Row],[Ship Date]],"D")</f>
        <v>5</v>
      </c>
    </row>
    <row r="1309" spans="1:13" x14ac:dyDescent="0.35">
      <c r="A1309" t="s">
        <v>1721</v>
      </c>
      <c r="B1309" t="s">
        <v>303</v>
      </c>
      <c r="C1309" t="s">
        <v>217</v>
      </c>
      <c r="D1309" s="2">
        <v>4564.1400000000003</v>
      </c>
      <c r="E1309">
        <v>3</v>
      </c>
      <c r="F1309">
        <v>0.1</v>
      </c>
      <c r="G1309" t="s">
        <v>19</v>
      </c>
      <c r="H1309" t="s">
        <v>21</v>
      </c>
      <c r="I1309" t="s">
        <v>43</v>
      </c>
      <c r="J1309" s="2">
        <f>Table1_1[[#This Row],[Sales]]-Table1_1[[#This Row],[Sales]]*Table1_1[[#This Row],[Discount]]</f>
        <v>4107.7260000000006</v>
      </c>
      <c r="K1309" s="1">
        <v>45558</v>
      </c>
      <c r="L1309" s="11">
        <v>45561</v>
      </c>
      <c r="M1309">
        <f>DATEDIF(Table1_1[[#This Row],[Order Date]],Table1_1[[#This Row],[Ship Date]],"D")</f>
        <v>3</v>
      </c>
    </row>
    <row r="1310" spans="1:13" x14ac:dyDescent="0.35">
      <c r="A1310" t="s">
        <v>1722</v>
      </c>
      <c r="B1310" t="s">
        <v>387</v>
      </c>
      <c r="C1310" t="s">
        <v>82</v>
      </c>
      <c r="D1310" s="2">
        <v>1053.56</v>
      </c>
      <c r="E1310">
        <v>4</v>
      </c>
      <c r="F1310">
        <v>0.2</v>
      </c>
      <c r="G1310" t="s">
        <v>14</v>
      </c>
      <c r="H1310" t="s">
        <v>21</v>
      </c>
      <c r="I1310" t="s">
        <v>16</v>
      </c>
      <c r="J1310" s="2">
        <f>Table1_1[[#This Row],[Sales]]-Table1_1[[#This Row],[Sales]]*Table1_1[[#This Row],[Discount]]</f>
        <v>842.84799999999996</v>
      </c>
      <c r="K1310" s="1">
        <v>45293</v>
      </c>
      <c r="L1310" s="11">
        <v>45299</v>
      </c>
      <c r="M1310">
        <f>DATEDIF(Table1_1[[#This Row],[Order Date]],Table1_1[[#This Row],[Ship Date]],"D")</f>
        <v>6</v>
      </c>
    </row>
    <row r="1311" spans="1:13" x14ac:dyDescent="0.35">
      <c r="A1311" t="s">
        <v>1723</v>
      </c>
      <c r="B1311" t="s">
        <v>394</v>
      </c>
      <c r="C1311" t="s">
        <v>278</v>
      </c>
      <c r="D1311" s="2">
        <v>393.4</v>
      </c>
      <c r="E1311">
        <v>5</v>
      </c>
      <c r="F1311">
        <v>0.3</v>
      </c>
      <c r="G1311" t="s">
        <v>19</v>
      </c>
      <c r="H1311" t="s">
        <v>21</v>
      </c>
      <c r="I1311" t="s">
        <v>16</v>
      </c>
      <c r="J1311" s="2">
        <f>Table1_1[[#This Row],[Sales]]-Table1_1[[#This Row],[Sales]]*Table1_1[[#This Row],[Discount]]</f>
        <v>275.38</v>
      </c>
      <c r="K1311" s="1">
        <v>45571</v>
      </c>
      <c r="L1311" s="11">
        <v>45575</v>
      </c>
      <c r="M1311">
        <f>DATEDIF(Table1_1[[#This Row],[Order Date]],Table1_1[[#This Row],[Ship Date]],"D")</f>
        <v>4</v>
      </c>
    </row>
    <row r="1312" spans="1:13" x14ac:dyDescent="0.35">
      <c r="A1312" t="s">
        <v>1724</v>
      </c>
      <c r="B1312" t="s">
        <v>151</v>
      </c>
      <c r="C1312" t="s">
        <v>180</v>
      </c>
      <c r="D1312" s="2">
        <v>4598.41</v>
      </c>
      <c r="E1312">
        <v>10</v>
      </c>
      <c r="F1312">
        <v>0</v>
      </c>
      <c r="G1312" t="s">
        <v>14</v>
      </c>
      <c r="H1312" t="s">
        <v>21</v>
      </c>
      <c r="I1312" t="s">
        <v>43</v>
      </c>
      <c r="J1312" s="2">
        <f>Table1_1[[#This Row],[Sales]]-Table1_1[[#This Row],[Sales]]*Table1_1[[#This Row],[Discount]]</f>
        <v>4598.41</v>
      </c>
      <c r="K1312" s="1">
        <v>45771</v>
      </c>
      <c r="L1312" s="11">
        <v>45776</v>
      </c>
      <c r="M1312">
        <f>DATEDIF(Table1_1[[#This Row],[Order Date]],Table1_1[[#This Row],[Ship Date]],"D")</f>
        <v>5</v>
      </c>
    </row>
    <row r="1313" spans="1:13" x14ac:dyDescent="0.35">
      <c r="A1313" t="s">
        <v>1725</v>
      </c>
      <c r="B1313" t="s">
        <v>599</v>
      </c>
      <c r="C1313" t="s">
        <v>180</v>
      </c>
      <c r="D1313" s="2">
        <v>3896.48</v>
      </c>
      <c r="E1313">
        <v>9</v>
      </c>
      <c r="F1313">
        <v>0.2</v>
      </c>
      <c r="G1313" t="s">
        <v>19</v>
      </c>
      <c r="H1313" t="s">
        <v>21</v>
      </c>
      <c r="I1313" t="s">
        <v>16</v>
      </c>
      <c r="J1313" s="2">
        <f>Table1_1[[#This Row],[Sales]]-Table1_1[[#This Row],[Sales]]*Table1_1[[#This Row],[Discount]]</f>
        <v>3117.1840000000002</v>
      </c>
      <c r="K1313" s="1">
        <v>45481</v>
      </c>
      <c r="L1313" s="11">
        <v>45486</v>
      </c>
      <c r="M1313">
        <f>DATEDIF(Table1_1[[#This Row],[Order Date]],Table1_1[[#This Row],[Ship Date]],"D")</f>
        <v>5</v>
      </c>
    </row>
    <row r="1314" spans="1:13" x14ac:dyDescent="0.35">
      <c r="A1314" t="s">
        <v>1726</v>
      </c>
      <c r="B1314" t="s">
        <v>137</v>
      </c>
      <c r="C1314" t="s">
        <v>31</v>
      </c>
      <c r="D1314" s="2">
        <v>3186.68</v>
      </c>
      <c r="E1314">
        <v>4</v>
      </c>
      <c r="F1314">
        <v>0</v>
      </c>
      <c r="G1314" t="s">
        <v>14</v>
      </c>
      <c r="H1314" t="s">
        <v>15</v>
      </c>
      <c r="I1314" t="s">
        <v>16</v>
      </c>
      <c r="J1314" s="2">
        <f>Table1_1[[#This Row],[Sales]]-Table1_1[[#This Row],[Sales]]*Table1_1[[#This Row],[Discount]]</f>
        <v>3186.68</v>
      </c>
      <c r="K1314" s="1">
        <v>45530</v>
      </c>
      <c r="L1314" s="11">
        <v>45537</v>
      </c>
      <c r="M1314">
        <f>DATEDIF(Table1_1[[#This Row],[Order Date]],Table1_1[[#This Row],[Ship Date]],"D")</f>
        <v>7</v>
      </c>
    </row>
    <row r="1315" spans="1:13" x14ac:dyDescent="0.35">
      <c r="A1315" t="s">
        <v>1727</v>
      </c>
      <c r="B1315" t="s">
        <v>45</v>
      </c>
      <c r="C1315" t="s">
        <v>291</v>
      </c>
      <c r="D1315" s="2">
        <v>4299.2299999999996</v>
      </c>
      <c r="E1315">
        <v>3</v>
      </c>
      <c r="F1315">
        <v>0.2</v>
      </c>
      <c r="G1315" t="s">
        <v>14</v>
      </c>
      <c r="H1315" t="s">
        <v>21</v>
      </c>
      <c r="I1315" t="s">
        <v>43</v>
      </c>
      <c r="J1315" s="2">
        <f>Table1_1[[#This Row],[Sales]]-Table1_1[[#This Row],[Sales]]*Table1_1[[#This Row],[Discount]]</f>
        <v>3439.3839999999996</v>
      </c>
      <c r="K1315" s="1">
        <v>45229</v>
      </c>
      <c r="L1315" s="11">
        <v>45232</v>
      </c>
      <c r="M1315">
        <f>DATEDIF(Table1_1[[#This Row],[Order Date]],Table1_1[[#This Row],[Ship Date]],"D")</f>
        <v>3</v>
      </c>
    </row>
    <row r="1316" spans="1:13" x14ac:dyDescent="0.35">
      <c r="A1316" t="s">
        <v>1728</v>
      </c>
      <c r="B1316" t="s">
        <v>88</v>
      </c>
      <c r="C1316" t="s">
        <v>911</v>
      </c>
      <c r="D1316" s="2">
        <v>105.96</v>
      </c>
      <c r="E1316">
        <v>7</v>
      </c>
      <c r="F1316">
        <v>0.2</v>
      </c>
      <c r="G1316" t="s">
        <v>14</v>
      </c>
      <c r="H1316" t="s">
        <v>21</v>
      </c>
      <c r="I1316" t="s">
        <v>16</v>
      </c>
      <c r="J1316" s="2">
        <f>Table1_1[[#This Row],[Sales]]-Table1_1[[#This Row],[Sales]]*Table1_1[[#This Row],[Discount]]</f>
        <v>84.768000000000001</v>
      </c>
      <c r="K1316" s="1">
        <v>45017</v>
      </c>
      <c r="L1316" s="11">
        <v>45022</v>
      </c>
      <c r="M1316">
        <f>DATEDIF(Table1_1[[#This Row],[Order Date]],Table1_1[[#This Row],[Ship Date]],"D")</f>
        <v>5</v>
      </c>
    </row>
    <row r="1317" spans="1:13" x14ac:dyDescent="0.35">
      <c r="A1317" t="s">
        <v>1729</v>
      </c>
      <c r="B1317" t="s">
        <v>1730</v>
      </c>
      <c r="C1317" t="s">
        <v>278</v>
      </c>
      <c r="D1317" s="2">
        <v>3522.54</v>
      </c>
      <c r="E1317">
        <v>2</v>
      </c>
      <c r="F1317">
        <v>0.1</v>
      </c>
      <c r="G1317" t="s">
        <v>14</v>
      </c>
      <c r="H1317" t="s">
        <v>15</v>
      </c>
      <c r="I1317" t="s">
        <v>43</v>
      </c>
      <c r="J1317" s="2">
        <f>Table1_1[[#This Row],[Sales]]-Table1_1[[#This Row],[Sales]]*Table1_1[[#This Row],[Discount]]</f>
        <v>3170.2860000000001</v>
      </c>
      <c r="K1317" s="1">
        <v>45105</v>
      </c>
      <c r="L1317" s="11">
        <v>45109</v>
      </c>
      <c r="M1317">
        <f>DATEDIF(Table1_1[[#This Row],[Order Date]],Table1_1[[#This Row],[Ship Date]],"D")</f>
        <v>4</v>
      </c>
    </row>
    <row r="1318" spans="1:13" x14ac:dyDescent="0.35">
      <c r="A1318" t="s">
        <v>1731</v>
      </c>
      <c r="B1318" t="s">
        <v>632</v>
      </c>
      <c r="C1318" t="s">
        <v>408</v>
      </c>
      <c r="D1318" s="2">
        <v>3384.14</v>
      </c>
      <c r="E1318">
        <v>1</v>
      </c>
      <c r="F1318">
        <v>0.1</v>
      </c>
      <c r="G1318" t="s">
        <v>39</v>
      </c>
      <c r="H1318" t="s">
        <v>15</v>
      </c>
      <c r="I1318" t="s">
        <v>16</v>
      </c>
      <c r="J1318" s="2">
        <f>Table1_1[[#This Row],[Sales]]-Table1_1[[#This Row],[Sales]]*Table1_1[[#This Row],[Discount]]</f>
        <v>3045.7259999999997</v>
      </c>
      <c r="K1318" s="1">
        <v>45047</v>
      </c>
      <c r="L1318" s="11">
        <v>45051</v>
      </c>
      <c r="M1318">
        <f>DATEDIF(Table1_1[[#This Row],[Order Date]],Table1_1[[#This Row],[Ship Date]],"D")</f>
        <v>4</v>
      </c>
    </row>
    <row r="1319" spans="1:13" x14ac:dyDescent="0.35">
      <c r="A1319" t="s">
        <v>1732</v>
      </c>
      <c r="B1319" t="s">
        <v>1154</v>
      </c>
      <c r="C1319" t="s">
        <v>487</v>
      </c>
      <c r="D1319" s="2">
        <v>1824.47</v>
      </c>
      <c r="E1319">
        <v>9</v>
      </c>
      <c r="F1319">
        <v>0.2</v>
      </c>
      <c r="G1319" t="s">
        <v>14</v>
      </c>
      <c r="H1319" t="s">
        <v>21</v>
      </c>
      <c r="I1319" t="s">
        <v>16</v>
      </c>
      <c r="J1319" s="2">
        <f>Table1_1[[#This Row],[Sales]]-Table1_1[[#This Row],[Sales]]*Table1_1[[#This Row],[Discount]]</f>
        <v>1459.576</v>
      </c>
      <c r="K1319" s="1">
        <v>45789</v>
      </c>
      <c r="L1319" s="11">
        <v>45791</v>
      </c>
      <c r="M1319">
        <f>DATEDIF(Table1_1[[#This Row],[Order Date]],Table1_1[[#This Row],[Ship Date]],"D")</f>
        <v>2</v>
      </c>
    </row>
    <row r="1320" spans="1:13" x14ac:dyDescent="0.35">
      <c r="A1320" t="s">
        <v>1733</v>
      </c>
      <c r="B1320" t="s">
        <v>72</v>
      </c>
      <c r="C1320" t="s">
        <v>354</v>
      </c>
      <c r="D1320" s="2">
        <v>233.52</v>
      </c>
      <c r="E1320">
        <v>8</v>
      </c>
      <c r="F1320">
        <v>0.1</v>
      </c>
      <c r="G1320" t="s">
        <v>14</v>
      </c>
      <c r="H1320" t="s">
        <v>21</v>
      </c>
      <c r="I1320" t="s">
        <v>16</v>
      </c>
      <c r="J1320" s="2">
        <f>Table1_1[[#This Row],[Sales]]-Table1_1[[#This Row],[Sales]]*Table1_1[[#This Row],[Discount]]</f>
        <v>210.16800000000001</v>
      </c>
      <c r="K1320" s="1">
        <v>45492</v>
      </c>
      <c r="L1320" s="11">
        <v>45499</v>
      </c>
      <c r="M1320">
        <f>DATEDIF(Table1_1[[#This Row],[Order Date]],Table1_1[[#This Row],[Ship Date]],"D")</f>
        <v>7</v>
      </c>
    </row>
    <row r="1321" spans="1:13" x14ac:dyDescent="0.35">
      <c r="A1321" t="s">
        <v>1734</v>
      </c>
      <c r="B1321" t="s">
        <v>530</v>
      </c>
      <c r="C1321" t="s">
        <v>217</v>
      </c>
      <c r="D1321" s="2">
        <v>4464.32</v>
      </c>
      <c r="E1321">
        <v>9</v>
      </c>
      <c r="F1321">
        <v>0</v>
      </c>
      <c r="G1321" t="s">
        <v>14</v>
      </c>
      <c r="H1321" t="s">
        <v>15</v>
      </c>
      <c r="I1321" t="s">
        <v>43</v>
      </c>
      <c r="J1321" s="2">
        <f>Table1_1[[#This Row],[Sales]]-Table1_1[[#This Row],[Sales]]*Table1_1[[#This Row],[Discount]]</f>
        <v>4464.32</v>
      </c>
      <c r="K1321" s="1">
        <v>45491</v>
      </c>
      <c r="L1321" s="11">
        <v>45497</v>
      </c>
      <c r="M1321">
        <f>DATEDIF(Table1_1[[#This Row],[Order Date]],Table1_1[[#This Row],[Ship Date]],"D")</f>
        <v>6</v>
      </c>
    </row>
    <row r="1322" spans="1:13" x14ac:dyDescent="0.35">
      <c r="A1322" t="s">
        <v>1735</v>
      </c>
      <c r="B1322" t="s">
        <v>351</v>
      </c>
      <c r="C1322" t="s">
        <v>310</v>
      </c>
      <c r="D1322" s="2">
        <v>2603.29</v>
      </c>
      <c r="E1322">
        <v>6</v>
      </c>
      <c r="F1322">
        <v>0.2</v>
      </c>
      <c r="G1322" t="s">
        <v>39</v>
      </c>
      <c r="H1322" t="s">
        <v>15</v>
      </c>
      <c r="I1322" t="s">
        <v>16</v>
      </c>
      <c r="J1322" s="2">
        <f>Table1_1[[#This Row],[Sales]]-Table1_1[[#This Row],[Sales]]*Table1_1[[#This Row],[Discount]]</f>
        <v>2082.6320000000001</v>
      </c>
      <c r="K1322" s="1">
        <v>45289</v>
      </c>
      <c r="L1322" s="11">
        <v>45295</v>
      </c>
      <c r="M1322">
        <f>DATEDIF(Table1_1[[#This Row],[Order Date]],Table1_1[[#This Row],[Ship Date]],"D")</f>
        <v>6</v>
      </c>
    </row>
    <row r="1323" spans="1:13" x14ac:dyDescent="0.35">
      <c r="A1323" t="s">
        <v>1736</v>
      </c>
      <c r="B1323" t="s">
        <v>382</v>
      </c>
      <c r="C1323" t="s">
        <v>251</v>
      </c>
      <c r="D1323" s="2">
        <v>3354.95</v>
      </c>
      <c r="E1323">
        <v>10</v>
      </c>
      <c r="F1323">
        <v>0.3</v>
      </c>
      <c r="G1323" t="s">
        <v>14</v>
      </c>
      <c r="H1323" t="s">
        <v>21</v>
      </c>
      <c r="I1323" t="s">
        <v>16</v>
      </c>
      <c r="J1323" s="2">
        <f>Table1_1[[#This Row],[Sales]]-Table1_1[[#This Row],[Sales]]*Table1_1[[#This Row],[Discount]]</f>
        <v>2348.4650000000001</v>
      </c>
      <c r="K1323" s="1">
        <v>45597</v>
      </c>
      <c r="L1323" s="11">
        <v>45601</v>
      </c>
      <c r="M1323">
        <f>DATEDIF(Table1_1[[#This Row],[Order Date]],Table1_1[[#This Row],[Ship Date]],"D")</f>
        <v>4</v>
      </c>
    </row>
    <row r="1324" spans="1:13" x14ac:dyDescent="0.35">
      <c r="A1324" t="s">
        <v>1737</v>
      </c>
      <c r="B1324" t="s">
        <v>855</v>
      </c>
      <c r="C1324" t="s">
        <v>113</v>
      </c>
      <c r="D1324" s="2">
        <v>4375.1499999999996</v>
      </c>
      <c r="E1324">
        <v>6</v>
      </c>
      <c r="F1324">
        <v>0</v>
      </c>
      <c r="G1324" t="s">
        <v>39</v>
      </c>
      <c r="H1324" t="s">
        <v>15</v>
      </c>
      <c r="I1324" t="s">
        <v>43</v>
      </c>
      <c r="J1324" s="2">
        <f>Table1_1[[#This Row],[Sales]]-Table1_1[[#This Row],[Sales]]*Table1_1[[#This Row],[Discount]]</f>
        <v>4375.1499999999996</v>
      </c>
      <c r="K1324" s="1">
        <v>45668</v>
      </c>
      <c r="L1324" s="11">
        <v>45669</v>
      </c>
      <c r="M1324">
        <f>DATEDIF(Table1_1[[#This Row],[Order Date]],Table1_1[[#This Row],[Ship Date]],"D")</f>
        <v>1</v>
      </c>
    </row>
    <row r="1325" spans="1:13" x14ac:dyDescent="0.35">
      <c r="A1325" t="s">
        <v>1738</v>
      </c>
      <c r="B1325" t="s">
        <v>670</v>
      </c>
      <c r="C1325" t="s">
        <v>231</v>
      </c>
      <c r="D1325" s="2">
        <v>535.94000000000005</v>
      </c>
      <c r="E1325">
        <v>1</v>
      </c>
      <c r="F1325">
        <v>0</v>
      </c>
      <c r="G1325" t="s">
        <v>14</v>
      </c>
      <c r="H1325" t="s">
        <v>21</v>
      </c>
      <c r="I1325" t="s">
        <v>16</v>
      </c>
      <c r="J1325" s="2">
        <f>Table1_1[[#This Row],[Sales]]-Table1_1[[#This Row],[Sales]]*Table1_1[[#This Row],[Discount]]</f>
        <v>535.94000000000005</v>
      </c>
      <c r="K1325" s="1">
        <v>45205</v>
      </c>
      <c r="L1325" s="11">
        <v>45207</v>
      </c>
      <c r="M1325">
        <f>DATEDIF(Table1_1[[#This Row],[Order Date]],Table1_1[[#This Row],[Ship Date]],"D")</f>
        <v>2</v>
      </c>
    </row>
    <row r="1326" spans="1:13" x14ac:dyDescent="0.35">
      <c r="A1326" t="s">
        <v>1739</v>
      </c>
      <c r="B1326" t="s">
        <v>1122</v>
      </c>
      <c r="C1326" t="s">
        <v>128</v>
      </c>
      <c r="D1326" s="2">
        <v>1114.0999999999999</v>
      </c>
      <c r="E1326">
        <v>5</v>
      </c>
      <c r="F1326">
        <v>0.2</v>
      </c>
      <c r="G1326" t="s">
        <v>39</v>
      </c>
      <c r="H1326" t="s">
        <v>15</v>
      </c>
      <c r="I1326" t="s">
        <v>43</v>
      </c>
      <c r="J1326" s="2">
        <f>Table1_1[[#This Row],[Sales]]-Table1_1[[#This Row],[Sales]]*Table1_1[[#This Row],[Discount]]</f>
        <v>891.28</v>
      </c>
      <c r="K1326" s="1">
        <v>45348</v>
      </c>
      <c r="L1326" s="11">
        <v>45352</v>
      </c>
      <c r="M1326">
        <f>DATEDIF(Table1_1[[#This Row],[Order Date]],Table1_1[[#This Row],[Ship Date]],"D")</f>
        <v>4</v>
      </c>
    </row>
    <row r="1327" spans="1:13" x14ac:dyDescent="0.35">
      <c r="A1327" t="s">
        <v>1740</v>
      </c>
      <c r="B1327" t="s">
        <v>134</v>
      </c>
      <c r="C1327" t="s">
        <v>113</v>
      </c>
      <c r="D1327" s="2">
        <v>1214.97</v>
      </c>
      <c r="E1327">
        <v>6</v>
      </c>
      <c r="F1327">
        <v>0.3</v>
      </c>
      <c r="G1327" t="s">
        <v>19</v>
      </c>
      <c r="H1327" t="s">
        <v>15</v>
      </c>
      <c r="I1327" t="s">
        <v>43</v>
      </c>
      <c r="J1327" s="2">
        <f>Table1_1[[#This Row],[Sales]]-Table1_1[[#This Row],[Sales]]*Table1_1[[#This Row],[Discount]]</f>
        <v>850.47900000000004</v>
      </c>
      <c r="K1327" s="1">
        <v>45571</v>
      </c>
      <c r="L1327" s="11">
        <v>45575</v>
      </c>
      <c r="M1327">
        <f>DATEDIF(Table1_1[[#This Row],[Order Date]],Table1_1[[#This Row],[Ship Date]],"D")</f>
        <v>4</v>
      </c>
    </row>
    <row r="1328" spans="1:13" x14ac:dyDescent="0.35">
      <c r="A1328" t="s">
        <v>1741</v>
      </c>
      <c r="B1328" t="s">
        <v>492</v>
      </c>
      <c r="C1328" t="s">
        <v>220</v>
      </c>
      <c r="D1328" s="2">
        <v>4624.6400000000003</v>
      </c>
      <c r="E1328">
        <v>2</v>
      </c>
      <c r="F1328">
        <v>0</v>
      </c>
      <c r="G1328" t="s">
        <v>14</v>
      </c>
      <c r="H1328" t="s">
        <v>15</v>
      </c>
      <c r="I1328" t="s">
        <v>20</v>
      </c>
      <c r="J1328" s="2">
        <f>Table1_1[[#This Row],[Sales]]-Table1_1[[#This Row],[Sales]]*Table1_1[[#This Row],[Discount]]</f>
        <v>4624.6400000000003</v>
      </c>
      <c r="K1328" s="1">
        <v>45409</v>
      </c>
      <c r="L1328" s="11">
        <v>45413</v>
      </c>
      <c r="M1328">
        <f>DATEDIF(Table1_1[[#This Row],[Order Date]],Table1_1[[#This Row],[Ship Date]],"D")</f>
        <v>4</v>
      </c>
    </row>
    <row r="1329" spans="1:13" x14ac:dyDescent="0.35">
      <c r="A1329" t="s">
        <v>1742</v>
      </c>
      <c r="B1329" t="s">
        <v>704</v>
      </c>
      <c r="C1329" t="s">
        <v>458</v>
      </c>
      <c r="D1329" s="2">
        <v>3141.94</v>
      </c>
      <c r="E1329">
        <v>5</v>
      </c>
      <c r="F1329">
        <v>0</v>
      </c>
      <c r="G1329" t="s">
        <v>39</v>
      </c>
      <c r="H1329" t="s">
        <v>21</v>
      </c>
      <c r="I1329" t="s">
        <v>16</v>
      </c>
      <c r="J1329" s="2">
        <f>Table1_1[[#This Row],[Sales]]-Table1_1[[#This Row],[Sales]]*Table1_1[[#This Row],[Discount]]</f>
        <v>3141.94</v>
      </c>
      <c r="K1329" s="1">
        <v>44950</v>
      </c>
      <c r="L1329" s="11">
        <v>44951</v>
      </c>
      <c r="M1329">
        <f>DATEDIF(Table1_1[[#This Row],[Order Date]],Table1_1[[#This Row],[Ship Date]],"D")</f>
        <v>1</v>
      </c>
    </row>
    <row r="1330" spans="1:13" x14ac:dyDescent="0.35">
      <c r="A1330" t="s">
        <v>1743</v>
      </c>
      <c r="B1330" t="s">
        <v>544</v>
      </c>
      <c r="C1330" t="s">
        <v>60</v>
      </c>
      <c r="D1330" s="2">
        <v>184.48</v>
      </c>
      <c r="E1330">
        <v>5</v>
      </c>
      <c r="F1330">
        <v>0</v>
      </c>
      <c r="G1330" t="s">
        <v>14</v>
      </c>
      <c r="H1330" t="s">
        <v>21</v>
      </c>
      <c r="I1330" t="s">
        <v>20</v>
      </c>
      <c r="J1330" s="2">
        <f>Table1_1[[#This Row],[Sales]]-Table1_1[[#This Row],[Sales]]*Table1_1[[#This Row],[Discount]]</f>
        <v>184.48</v>
      </c>
      <c r="K1330" s="1">
        <v>45678</v>
      </c>
      <c r="L1330" s="11">
        <v>45681</v>
      </c>
      <c r="M1330">
        <f>DATEDIF(Table1_1[[#This Row],[Order Date]],Table1_1[[#This Row],[Ship Date]],"D")</f>
        <v>3</v>
      </c>
    </row>
    <row r="1331" spans="1:13" x14ac:dyDescent="0.35">
      <c r="A1331" t="s">
        <v>1744</v>
      </c>
      <c r="B1331" t="s">
        <v>1089</v>
      </c>
      <c r="C1331" t="s">
        <v>624</v>
      </c>
      <c r="D1331" s="2">
        <v>2519.84</v>
      </c>
      <c r="E1331">
        <v>1</v>
      </c>
      <c r="F1331">
        <v>0.2</v>
      </c>
      <c r="G1331" t="s">
        <v>14</v>
      </c>
      <c r="H1331" t="s">
        <v>15</v>
      </c>
      <c r="I1331" t="s">
        <v>20</v>
      </c>
      <c r="J1331" s="2">
        <f>Table1_1[[#This Row],[Sales]]-Table1_1[[#This Row],[Sales]]*Table1_1[[#This Row],[Discount]]</f>
        <v>2015.8720000000001</v>
      </c>
      <c r="K1331" s="1">
        <v>45721</v>
      </c>
      <c r="L1331" s="11">
        <v>45726</v>
      </c>
      <c r="M1331">
        <f>DATEDIF(Table1_1[[#This Row],[Order Date]],Table1_1[[#This Row],[Ship Date]],"D")</f>
        <v>5</v>
      </c>
    </row>
    <row r="1332" spans="1:13" x14ac:dyDescent="0.35">
      <c r="A1332" t="s">
        <v>1745</v>
      </c>
      <c r="B1332" t="s">
        <v>353</v>
      </c>
      <c r="C1332" t="s">
        <v>254</v>
      </c>
      <c r="D1332" s="2">
        <v>638.03</v>
      </c>
      <c r="E1332">
        <v>5</v>
      </c>
      <c r="F1332">
        <v>0</v>
      </c>
      <c r="G1332" t="s">
        <v>14</v>
      </c>
      <c r="H1332" t="s">
        <v>21</v>
      </c>
      <c r="I1332" t="s">
        <v>43</v>
      </c>
      <c r="J1332" s="2">
        <f>Table1_1[[#This Row],[Sales]]-Table1_1[[#This Row],[Sales]]*Table1_1[[#This Row],[Discount]]</f>
        <v>638.03</v>
      </c>
      <c r="K1332" s="1">
        <v>45161</v>
      </c>
      <c r="L1332" s="11">
        <v>45168</v>
      </c>
      <c r="M1332">
        <f>DATEDIF(Table1_1[[#This Row],[Order Date]],Table1_1[[#This Row],[Ship Date]],"D")</f>
        <v>7</v>
      </c>
    </row>
    <row r="1333" spans="1:13" x14ac:dyDescent="0.35">
      <c r="A1333" t="s">
        <v>1746</v>
      </c>
      <c r="B1333" t="s">
        <v>1307</v>
      </c>
      <c r="C1333" t="s">
        <v>565</v>
      </c>
      <c r="D1333" s="2">
        <v>1066.24</v>
      </c>
      <c r="E1333">
        <v>6</v>
      </c>
      <c r="F1333">
        <v>0.3</v>
      </c>
      <c r="G1333" t="s">
        <v>14</v>
      </c>
      <c r="H1333" t="s">
        <v>15</v>
      </c>
      <c r="I1333" t="s">
        <v>43</v>
      </c>
      <c r="J1333" s="2">
        <f>Table1_1[[#This Row],[Sales]]-Table1_1[[#This Row],[Sales]]*Table1_1[[#This Row],[Discount]]</f>
        <v>746.36799999999994</v>
      </c>
      <c r="K1333" s="1">
        <v>45143</v>
      </c>
      <c r="L1333" s="11">
        <v>45148</v>
      </c>
      <c r="M1333">
        <f>DATEDIF(Table1_1[[#This Row],[Order Date]],Table1_1[[#This Row],[Ship Date]],"D")</f>
        <v>5</v>
      </c>
    </row>
    <row r="1334" spans="1:13" x14ac:dyDescent="0.35">
      <c r="A1334" t="s">
        <v>1747</v>
      </c>
      <c r="B1334" t="s">
        <v>394</v>
      </c>
      <c r="C1334" t="s">
        <v>125</v>
      </c>
      <c r="D1334" s="2">
        <v>1986.04</v>
      </c>
      <c r="E1334">
        <v>5</v>
      </c>
      <c r="F1334">
        <v>0.3</v>
      </c>
      <c r="G1334" t="s">
        <v>19</v>
      </c>
      <c r="H1334" t="s">
        <v>21</v>
      </c>
      <c r="I1334" t="s">
        <v>20</v>
      </c>
      <c r="J1334" s="2">
        <f>Table1_1[[#This Row],[Sales]]-Table1_1[[#This Row],[Sales]]*Table1_1[[#This Row],[Discount]]</f>
        <v>1390.2280000000001</v>
      </c>
      <c r="K1334" s="1">
        <v>45800</v>
      </c>
      <c r="L1334" s="11">
        <v>45804</v>
      </c>
      <c r="M1334">
        <f>DATEDIF(Table1_1[[#This Row],[Order Date]],Table1_1[[#This Row],[Ship Date]],"D")</f>
        <v>4</v>
      </c>
    </row>
    <row r="1335" spans="1:13" x14ac:dyDescent="0.35">
      <c r="A1335" t="s">
        <v>1748</v>
      </c>
      <c r="B1335" t="s">
        <v>704</v>
      </c>
      <c r="C1335" t="s">
        <v>565</v>
      </c>
      <c r="D1335" s="2">
        <v>3188.63</v>
      </c>
      <c r="E1335">
        <v>9</v>
      </c>
      <c r="F1335">
        <v>0.3</v>
      </c>
      <c r="G1335" t="s">
        <v>19</v>
      </c>
      <c r="H1335" t="s">
        <v>15</v>
      </c>
      <c r="I1335" t="s">
        <v>16</v>
      </c>
      <c r="J1335" s="2">
        <f>Table1_1[[#This Row],[Sales]]-Table1_1[[#This Row],[Sales]]*Table1_1[[#This Row],[Discount]]</f>
        <v>2232.0410000000002</v>
      </c>
      <c r="K1335" s="1">
        <v>45750</v>
      </c>
      <c r="L1335" s="11">
        <v>45752</v>
      </c>
      <c r="M1335">
        <f>DATEDIF(Table1_1[[#This Row],[Order Date]],Table1_1[[#This Row],[Ship Date]],"D")</f>
        <v>2</v>
      </c>
    </row>
    <row r="1336" spans="1:13" x14ac:dyDescent="0.35">
      <c r="A1336" t="s">
        <v>1749</v>
      </c>
      <c r="B1336" t="s">
        <v>59</v>
      </c>
      <c r="C1336" t="s">
        <v>34</v>
      </c>
      <c r="D1336" s="2">
        <v>1617.48</v>
      </c>
      <c r="E1336">
        <v>4</v>
      </c>
      <c r="F1336">
        <v>0.3</v>
      </c>
      <c r="G1336" t="s">
        <v>14</v>
      </c>
      <c r="H1336" t="s">
        <v>21</v>
      </c>
      <c r="I1336" t="s">
        <v>16</v>
      </c>
      <c r="J1336" s="2">
        <f>Table1_1[[#This Row],[Sales]]-Table1_1[[#This Row],[Sales]]*Table1_1[[#This Row],[Discount]]</f>
        <v>1132.2360000000001</v>
      </c>
      <c r="K1336" s="1">
        <v>45106</v>
      </c>
      <c r="L1336" s="11">
        <v>45112</v>
      </c>
      <c r="M1336">
        <f>DATEDIF(Table1_1[[#This Row],[Order Date]],Table1_1[[#This Row],[Ship Date]],"D")</f>
        <v>6</v>
      </c>
    </row>
    <row r="1337" spans="1:13" x14ac:dyDescent="0.35">
      <c r="A1337" t="s">
        <v>1750</v>
      </c>
      <c r="B1337" t="s">
        <v>290</v>
      </c>
      <c r="C1337" t="s">
        <v>726</v>
      </c>
      <c r="D1337" s="2">
        <v>727.61</v>
      </c>
      <c r="E1337">
        <v>1</v>
      </c>
      <c r="F1337">
        <v>0.1</v>
      </c>
      <c r="G1337" t="s">
        <v>14</v>
      </c>
      <c r="H1337" t="s">
        <v>21</v>
      </c>
      <c r="I1337" t="s">
        <v>16</v>
      </c>
      <c r="J1337" s="2">
        <f>Table1_1[[#This Row],[Sales]]-Table1_1[[#This Row],[Sales]]*Table1_1[[#This Row],[Discount]]</f>
        <v>654.84900000000005</v>
      </c>
      <c r="K1337" s="1">
        <v>45296</v>
      </c>
      <c r="L1337" s="11">
        <v>45303</v>
      </c>
      <c r="M1337">
        <f>DATEDIF(Table1_1[[#This Row],[Order Date]],Table1_1[[#This Row],[Ship Date]],"D")</f>
        <v>7</v>
      </c>
    </row>
    <row r="1338" spans="1:13" x14ac:dyDescent="0.35">
      <c r="A1338" t="s">
        <v>1751</v>
      </c>
      <c r="B1338" t="s">
        <v>632</v>
      </c>
      <c r="C1338" t="s">
        <v>318</v>
      </c>
      <c r="D1338" s="2">
        <v>583.62</v>
      </c>
      <c r="E1338">
        <v>2</v>
      </c>
      <c r="F1338">
        <v>0.3</v>
      </c>
      <c r="G1338" t="s">
        <v>14</v>
      </c>
      <c r="H1338" t="s">
        <v>15</v>
      </c>
      <c r="I1338" t="s">
        <v>43</v>
      </c>
      <c r="J1338" s="2">
        <f>Table1_1[[#This Row],[Sales]]-Table1_1[[#This Row],[Sales]]*Table1_1[[#This Row],[Discount]]</f>
        <v>408.53399999999999</v>
      </c>
      <c r="K1338" s="1">
        <v>45552</v>
      </c>
      <c r="L1338" s="11">
        <v>45557</v>
      </c>
      <c r="M1338">
        <f>DATEDIF(Table1_1[[#This Row],[Order Date]],Table1_1[[#This Row],[Ship Date]],"D")</f>
        <v>5</v>
      </c>
    </row>
    <row r="1339" spans="1:13" x14ac:dyDescent="0.35">
      <c r="A1339" t="s">
        <v>1752</v>
      </c>
      <c r="B1339" t="s">
        <v>709</v>
      </c>
      <c r="C1339" t="s">
        <v>273</v>
      </c>
      <c r="D1339" s="2">
        <v>1215.3800000000001</v>
      </c>
      <c r="E1339">
        <v>7</v>
      </c>
      <c r="F1339">
        <v>0</v>
      </c>
      <c r="G1339" t="s">
        <v>14</v>
      </c>
      <c r="H1339" t="s">
        <v>15</v>
      </c>
      <c r="I1339" t="s">
        <v>16</v>
      </c>
      <c r="J1339" s="2">
        <f>Table1_1[[#This Row],[Sales]]-Table1_1[[#This Row],[Sales]]*Table1_1[[#This Row],[Discount]]</f>
        <v>1215.3800000000001</v>
      </c>
      <c r="K1339" s="1">
        <v>45819</v>
      </c>
      <c r="L1339" s="11">
        <v>45821</v>
      </c>
      <c r="M1339">
        <f>DATEDIF(Table1_1[[#This Row],[Order Date]],Table1_1[[#This Row],[Ship Date]],"D")</f>
        <v>2</v>
      </c>
    </row>
    <row r="1340" spans="1:13" x14ac:dyDescent="0.35">
      <c r="A1340" t="s">
        <v>1753</v>
      </c>
      <c r="B1340" t="s">
        <v>162</v>
      </c>
      <c r="C1340" t="s">
        <v>77</v>
      </c>
      <c r="D1340" s="2">
        <v>4235.3</v>
      </c>
      <c r="E1340">
        <v>3</v>
      </c>
      <c r="F1340">
        <v>0</v>
      </c>
      <c r="G1340" t="s">
        <v>39</v>
      </c>
      <c r="H1340" t="s">
        <v>21</v>
      </c>
      <c r="I1340" t="s">
        <v>43</v>
      </c>
      <c r="J1340" s="2">
        <f>Table1_1[[#This Row],[Sales]]-Table1_1[[#This Row],[Sales]]*Table1_1[[#This Row],[Discount]]</f>
        <v>4235.3</v>
      </c>
      <c r="K1340" s="1">
        <v>45653</v>
      </c>
      <c r="L1340" s="11">
        <v>45655</v>
      </c>
      <c r="M1340">
        <f>DATEDIF(Table1_1[[#This Row],[Order Date]],Table1_1[[#This Row],[Ship Date]],"D")</f>
        <v>2</v>
      </c>
    </row>
    <row r="1341" spans="1:13" x14ac:dyDescent="0.35">
      <c r="A1341" t="s">
        <v>1754</v>
      </c>
      <c r="B1341" t="s">
        <v>351</v>
      </c>
      <c r="C1341" t="s">
        <v>108</v>
      </c>
      <c r="D1341" s="2">
        <v>462.82</v>
      </c>
      <c r="E1341">
        <v>9</v>
      </c>
      <c r="F1341">
        <v>0.1</v>
      </c>
      <c r="G1341" t="s">
        <v>39</v>
      </c>
      <c r="H1341" t="s">
        <v>21</v>
      </c>
      <c r="I1341" t="s">
        <v>16</v>
      </c>
      <c r="J1341" s="2">
        <f>Table1_1[[#This Row],[Sales]]-Table1_1[[#This Row],[Sales]]*Table1_1[[#This Row],[Discount]]</f>
        <v>416.53800000000001</v>
      </c>
      <c r="K1341" s="1">
        <v>44983</v>
      </c>
      <c r="L1341" s="11">
        <v>44985</v>
      </c>
      <c r="M1341">
        <f>DATEDIF(Table1_1[[#This Row],[Order Date]],Table1_1[[#This Row],[Ship Date]],"D")</f>
        <v>2</v>
      </c>
    </row>
    <row r="1342" spans="1:13" x14ac:dyDescent="0.35">
      <c r="A1342" t="s">
        <v>1755</v>
      </c>
      <c r="B1342" t="s">
        <v>275</v>
      </c>
      <c r="C1342" t="s">
        <v>146</v>
      </c>
      <c r="D1342" s="2">
        <v>537.44000000000005</v>
      </c>
      <c r="E1342">
        <v>7</v>
      </c>
      <c r="F1342">
        <v>0</v>
      </c>
      <c r="G1342" t="s">
        <v>14</v>
      </c>
      <c r="H1342" t="s">
        <v>15</v>
      </c>
      <c r="I1342" t="s">
        <v>16</v>
      </c>
      <c r="J1342" s="2">
        <f>Table1_1[[#This Row],[Sales]]-Table1_1[[#This Row],[Sales]]*Table1_1[[#This Row],[Discount]]</f>
        <v>537.44000000000005</v>
      </c>
      <c r="K1342" s="1">
        <v>45603</v>
      </c>
      <c r="L1342" s="11">
        <v>45604</v>
      </c>
      <c r="M1342">
        <f>DATEDIF(Table1_1[[#This Row],[Order Date]],Table1_1[[#This Row],[Ship Date]],"D")</f>
        <v>1</v>
      </c>
    </row>
    <row r="1343" spans="1:13" x14ac:dyDescent="0.35">
      <c r="A1343" t="s">
        <v>1756</v>
      </c>
      <c r="B1343" t="s">
        <v>245</v>
      </c>
      <c r="C1343" t="s">
        <v>357</v>
      </c>
      <c r="D1343" s="2">
        <v>191.64</v>
      </c>
      <c r="E1343">
        <v>4</v>
      </c>
      <c r="F1343">
        <v>0.1</v>
      </c>
      <c r="G1343" t="s">
        <v>14</v>
      </c>
      <c r="H1343" t="s">
        <v>15</v>
      </c>
      <c r="I1343" t="s">
        <v>20</v>
      </c>
      <c r="J1343" s="2">
        <f>Table1_1[[#This Row],[Sales]]-Table1_1[[#This Row],[Sales]]*Table1_1[[#This Row],[Discount]]</f>
        <v>172.476</v>
      </c>
      <c r="K1343" s="1">
        <v>45388</v>
      </c>
      <c r="L1343" s="11">
        <v>45391</v>
      </c>
      <c r="M1343">
        <f>DATEDIF(Table1_1[[#This Row],[Order Date]],Table1_1[[#This Row],[Ship Date]],"D")</f>
        <v>3</v>
      </c>
    </row>
    <row r="1344" spans="1:13" x14ac:dyDescent="0.35">
      <c r="A1344" t="s">
        <v>1757</v>
      </c>
      <c r="B1344" t="s">
        <v>1178</v>
      </c>
      <c r="C1344" t="s">
        <v>243</v>
      </c>
      <c r="D1344" s="2">
        <v>3604.67</v>
      </c>
      <c r="E1344">
        <v>10</v>
      </c>
      <c r="F1344">
        <v>0</v>
      </c>
      <c r="G1344" t="s">
        <v>14</v>
      </c>
      <c r="H1344" t="s">
        <v>21</v>
      </c>
      <c r="I1344" t="s">
        <v>20</v>
      </c>
      <c r="J1344" s="2">
        <f>Table1_1[[#This Row],[Sales]]-Table1_1[[#This Row],[Sales]]*Table1_1[[#This Row],[Discount]]</f>
        <v>3604.67</v>
      </c>
      <c r="K1344" s="1">
        <v>45660</v>
      </c>
      <c r="L1344" s="11">
        <v>45664</v>
      </c>
      <c r="M1344">
        <f>DATEDIF(Table1_1[[#This Row],[Order Date]],Table1_1[[#This Row],[Ship Date]],"D")</f>
        <v>4</v>
      </c>
    </row>
    <row r="1345" spans="1:13" x14ac:dyDescent="0.35">
      <c r="A1345" t="s">
        <v>1758</v>
      </c>
      <c r="B1345" t="s">
        <v>142</v>
      </c>
      <c r="C1345" t="s">
        <v>487</v>
      </c>
      <c r="D1345" s="2">
        <v>1723.27</v>
      </c>
      <c r="E1345">
        <v>10</v>
      </c>
      <c r="F1345">
        <v>0.3</v>
      </c>
      <c r="G1345" t="s">
        <v>14</v>
      </c>
      <c r="H1345" t="s">
        <v>15</v>
      </c>
      <c r="I1345" t="s">
        <v>20</v>
      </c>
      <c r="J1345" s="2">
        <f>Table1_1[[#This Row],[Sales]]-Table1_1[[#This Row],[Sales]]*Table1_1[[#This Row],[Discount]]</f>
        <v>1206.289</v>
      </c>
      <c r="K1345" s="1">
        <v>45546</v>
      </c>
      <c r="L1345" s="11">
        <v>45550</v>
      </c>
      <c r="M1345">
        <f>DATEDIF(Table1_1[[#This Row],[Order Date]],Table1_1[[#This Row],[Ship Date]],"D")</f>
        <v>4</v>
      </c>
    </row>
    <row r="1346" spans="1:13" x14ac:dyDescent="0.35">
      <c r="A1346" t="s">
        <v>1759</v>
      </c>
      <c r="B1346" t="s">
        <v>1398</v>
      </c>
      <c r="C1346" t="s">
        <v>180</v>
      </c>
      <c r="D1346" s="2">
        <v>2490.1</v>
      </c>
      <c r="E1346">
        <v>7</v>
      </c>
      <c r="F1346">
        <v>0</v>
      </c>
      <c r="G1346" t="s">
        <v>19</v>
      </c>
      <c r="H1346" t="s">
        <v>21</v>
      </c>
      <c r="I1346" t="s">
        <v>43</v>
      </c>
      <c r="J1346" s="2">
        <f>Table1_1[[#This Row],[Sales]]-Table1_1[[#This Row],[Sales]]*Table1_1[[#This Row],[Discount]]</f>
        <v>2490.1</v>
      </c>
      <c r="K1346" s="1">
        <v>45220</v>
      </c>
      <c r="L1346" s="11">
        <v>45222</v>
      </c>
      <c r="M1346">
        <f>DATEDIF(Table1_1[[#This Row],[Order Date]],Table1_1[[#This Row],[Ship Date]],"D")</f>
        <v>2</v>
      </c>
    </row>
    <row r="1347" spans="1:13" x14ac:dyDescent="0.35">
      <c r="A1347" t="s">
        <v>1760</v>
      </c>
      <c r="B1347" t="s">
        <v>1115</v>
      </c>
      <c r="C1347" t="s">
        <v>268</v>
      </c>
      <c r="D1347" s="2">
        <v>2603.2800000000002</v>
      </c>
      <c r="E1347">
        <v>7</v>
      </c>
      <c r="F1347">
        <v>0.3</v>
      </c>
      <c r="G1347" t="s">
        <v>14</v>
      </c>
      <c r="H1347" t="s">
        <v>21</v>
      </c>
      <c r="I1347" t="s">
        <v>16</v>
      </c>
      <c r="J1347" s="2">
        <f>Table1_1[[#This Row],[Sales]]-Table1_1[[#This Row],[Sales]]*Table1_1[[#This Row],[Discount]]</f>
        <v>1822.2960000000003</v>
      </c>
      <c r="K1347" s="1">
        <v>45250</v>
      </c>
      <c r="L1347" s="11">
        <v>45253</v>
      </c>
      <c r="M1347">
        <f>DATEDIF(Table1_1[[#This Row],[Order Date]],Table1_1[[#This Row],[Ship Date]],"D")</f>
        <v>3</v>
      </c>
    </row>
    <row r="1348" spans="1:13" x14ac:dyDescent="0.35">
      <c r="A1348" t="s">
        <v>1761</v>
      </c>
      <c r="B1348" t="s">
        <v>876</v>
      </c>
      <c r="C1348" t="s">
        <v>229</v>
      </c>
      <c r="D1348" s="2">
        <v>3536.36</v>
      </c>
      <c r="E1348">
        <v>10</v>
      </c>
      <c r="F1348">
        <v>0</v>
      </c>
      <c r="G1348" t="s">
        <v>14</v>
      </c>
      <c r="H1348" t="s">
        <v>15</v>
      </c>
      <c r="I1348" t="s">
        <v>20</v>
      </c>
      <c r="J1348" s="2">
        <f>Table1_1[[#This Row],[Sales]]-Table1_1[[#This Row],[Sales]]*Table1_1[[#This Row],[Discount]]</f>
        <v>3536.36</v>
      </c>
      <c r="K1348" s="1">
        <v>45811</v>
      </c>
      <c r="L1348" s="11">
        <v>45813</v>
      </c>
      <c r="M1348">
        <f>DATEDIF(Table1_1[[#This Row],[Order Date]],Table1_1[[#This Row],[Ship Date]],"D")</f>
        <v>2</v>
      </c>
    </row>
    <row r="1349" spans="1:13" x14ac:dyDescent="0.35">
      <c r="A1349" t="s">
        <v>1762</v>
      </c>
      <c r="B1349" t="s">
        <v>159</v>
      </c>
      <c r="C1349" t="s">
        <v>217</v>
      </c>
      <c r="D1349" s="2">
        <v>3677.71</v>
      </c>
      <c r="E1349">
        <v>9</v>
      </c>
      <c r="F1349">
        <v>0.3</v>
      </c>
      <c r="G1349" t="s">
        <v>19</v>
      </c>
      <c r="H1349" t="s">
        <v>21</v>
      </c>
      <c r="I1349" t="s">
        <v>20</v>
      </c>
      <c r="J1349" s="2">
        <f>Table1_1[[#This Row],[Sales]]-Table1_1[[#This Row],[Sales]]*Table1_1[[#This Row],[Discount]]</f>
        <v>2574.3969999999999</v>
      </c>
      <c r="K1349" s="1">
        <v>45704</v>
      </c>
      <c r="L1349" s="11">
        <v>45711</v>
      </c>
      <c r="M1349">
        <f>DATEDIF(Table1_1[[#This Row],[Order Date]],Table1_1[[#This Row],[Ship Date]],"D")</f>
        <v>7</v>
      </c>
    </row>
    <row r="1350" spans="1:13" x14ac:dyDescent="0.35">
      <c r="A1350" t="s">
        <v>1763</v>
      </c>
      <c r="B1350" t="s">
        <v>335</v>
      </c>
      <c r="C1350" t="s">
        <v>220</v>
      </c>
      <c r="D1350" s="2">
        <v>159.93</v>
      </c>
      <c r="E1350">
        <v>10</v>
      </c>
      <c r="F1350">
        <v>0</v>
      </c>
      <c r="G1350" t="s">
        <v>14</v>
      </c>
      <c r="H1350" t="s">
        <v>15</v>
      </c>
      <c r="I1350" t="s">
        <v>43</v>
      </c>
      <c r="J1350" s="2">
        <f>Table1_1[[#This Row],[Sales]]-Table1_1[[#This Row],[Sales]]*Table1_1[[#This Row],[Discount]]</f>
        <v>159.93</v>
      </c>
      <c r="K1350" s="1">
        <v>45520</v>
      </c>
      <c r="L1350" s="11">
        <v>45527</v>
      </c>
      <c r="M1350">
        <f>DATEDIF(Table1_1[[#This Row],[Order Date]],Table1_1[[#This Row],[Ship Date]],"D")</f>
        <v>7</v>
      </c>
    </row>
    <row r="1351" spans="1:13" x14ac:dyDescent="0.35">
      <c r="A1351" t="s">
        <v>1764</v>
      </c>
      <c r="B1351" t="s">
        <v>599</v>
      </c>
      <c r="C1351" t="s">
        <v>273</v>
      </c>
      <c r="D1351" s="2">
        <v>3631.12</v>
      </c>
      <c r="E1351">
        <v>3</v>
      </c>
      <c r="F1351">
        <v>0</v>
      </c>
      <c r="G1351" t="s">
        <v>14</v>
      </c>
      <c r="H1351" t="s">
        <v>15</v>
      </c>
      <c r="I1351" t="s">
        <v>16</v>
      </c>
      <c r="J1351" s="2">
        <f>Table1_1[[#This Row],[Sales]]-Table1_1[[#This Row],[Sales]]*Table1_1[[#This Row],[Discount]]</f>
        <v>3631.12</v>
      </c>
      <c r="K1351" s="1">
        <v>45246</v>
      </c>
      <c r="L1351" s="11">
        <v>45253</v>
      </c>
      <c r="M1351">
        <f>DATEDIF(Table1_1[[#This Row],[Order Date]],Table1_1[[#This Row],[Ship Date]],"D")</f>
        <v>7</v>
      </c>
    </row>
    <row r="1352" spans="1:13" x14ac:dyDescent="0.35">
      <c r="A1352" t="s">
        <v>1765</v>
      </c>
      <c r="B1352" t="s">
        <v>353</v>
      </c>
      <c r="C1352" t="s">
        <v>336</v>
      </c>
      <c r="D1352" s="2">
        <v>2401.14</v>
      </c>
      <c r="E1352">
        <v>5</v>
      </c>
      <c r="F1352">
        <v>0.1</v>
      </c>
      <c r="G1352" t="s">
        <v>14</v>
      </c>
      <c r="H1352" t="s">
        <v>15</v>
      </c>
      <c r="I1352" t="s">
        <v>16</v>
      </c>
      <c r="J1352" s="2">
        <f>Table1_1[[#This Row],[Sales]]-Table1_1[[#This Row],[Sales]]*Table1_1[[#This Row],[Discount]]</f>
        <v>2161.0259999999998</v>
      </c>
      <c r="K1352" s="1">
        <v>45358</v>
      </c>
      <c r="L1352" s="11">
        <v>45365</v>
      </c>
      <c r="M1352">
        <f>DATEDIF(Table1_1[[#This Row],[Order Date]],Table1_1[[#This Row],[Ship Date]],"D")</f>
        <v>7</v>
      </c>
    </row>
    <row r="1353" spans="1:13" x14ac:dyDescent="0.35">
      <c r="A1353" t="s">
        <v>1766</v>
      </c>
      <c r="B1353" t="s">
        <v>447</v>
      </c>
      <c r="C1353" t="s">
        <v>157</v>
      </c>
      <c r="D1353" s="2">
        <v>4328.6000000000004</v>
      </c>
      <c r="E1353">
        <v>10</v>
      </c>
      <c r="F1353">
        <v>0</v>
      </c>
      <c r="G1353" t="s">
        <v>14</v>
      </c>
      <c r="H1353" t="s">
        <v>15</v>
      </c>
      <c r="I1353" t="s">
        <v>16</v>
      </c>
      <c r="J1353" s="2">
        <f>Table1_1[[#This Row],[Sales]]-Table1_1[[#This Row],[Sales]]*Table1_1[[#This Row],[Discount]]</f>
        <v>4328.6000000000004</v>
      </c>
      <c r="K1353" s="1">
        <v>45103</v>
      </c>
      <c r="L1353" s="11">
        <v>45108</v>
      </c>
      <c r="M1353">
        <f>DATEDIF(Table1_1[[#This Row],[Order Date]],Table1_1[[#This Row],[Ship Date]],"D")</f>
        <v>5</v>
      </c>
    </row>
    <row r="1354" spans="1:13" x14ac:dyDescent="0.35">
      <c r="A1354" t="s">
        <v>1767</v>
      </c>
      <c r="B1354" t="s">
        <v>239</v>
      </c>
      <c r="C1354" t="s">
        <v>254</v>
      </c>
      <c r="D1354" s="2">
        <v>2377.71</v>
      </c>
      <c r="E1354">
        <v>9</v>
      </c>
      <c r="F1354">
        <v>0.3</v>
      </c>
      <c r="G1354" t="s">
        <v>14</v>
      </c>
      <c r="H1354" t="s">
        <v>15</v>
      </c>
      <c r="I1354" t="s">
        <v>43</v>
      </c>
      <c r="J1354" s="2">
        <f>Table1_1[[#This Row],[Sales]]-Table1_1[[#This Row],[Sales]]*Table1_1[[#This Row],[Discount]]</f>
        <v>1664.3969999999999</v>
      </c>
      <c r="K1354" s="1">
        <v>45498</v>
      </c>
      <c r="L1354" s="11">
        <v>45499</v>
      </c>
      <c r="M1354">
        <f>DATEDIF(Table1_1[[#This Row],[Order Date]],Table1_1[[#This Row],[Ship Date]],"D")</f>
        <v>1</v>
      </c>
    </row>
    <row r="1355" spans="1:13" x14ac:dyDescent="0.35">
      <c r="A1355" t="s">
        <v>1768</v>
      </c>
      <c r="B1355" t="s">
        <v>721</v>
      </c>
      <c r="C1355" t="s">
        <v>458</v>
      </c>
      <c r="D1355" s="2">
        <v>553.77</v>
      </c>
      <c r="E1355">
        <v>4</v>
      </c>
      <c r="F1355">
        <v>0.3</v>
      </c>
      <c r="G1355" t="s">
        <v>39</v>
      </c>
      <c r="H1355" t="s">
        <v>15</v>
      </c>
      <c r="I1355" t="s">
        <v>20</v>
      </c>
      <c r="J1355" s="2">
        <f>Table1_1[[#This Row],[Sales]]-Table1_1[[#This Row],[Sales]]*Table1_1[[#This Row],[Discount]]</f>
        <v>387.63900000000001</v>
      </c>
      <c r="K1355" s="1">
        <v>45625</v>
      </c>
      <c r="L1355" s="11">
        <v>45632</v>
      </c>
      <c r="M1355">
        <f>DATEDIF(Table1_1[[#This Row],[Order Date]],Table1_1[[#This Row],[Ship Date]],"D")</f>
        <v>7</v>
      </c>
    </row>
    <row r="1356" spans="1:13" x14ac:dyDescent="0.35">
      <c r="A1356" t="s">
        <v>1769</v>
      </c>
      <c r="B1356" t="s">
        <v>145</v>
      </c>
      <c r="C1356" t="s">
        <v>226</v>
      </c>
      <c r="D1356" s="2">
        <v>4307.93</v>
      </c>
      <c r="E1356">
        <v>7</v>
      </c>
      <c r="F1356">
        <v>0</v>
      </c>
      <c r="G1356" t="s">
        <v>39</v>
      </c>
      <c r="H1356" t="s">
        <v>15</v>
      </c>
      <c r="I1356" t="s">
        <v>43</v>
      </c>
      <c r="J1356" s="2">
        <f>Table1_1[[#This Row],[Sales]]-Table1_1[[#This Row],[Sales]]*Table1_1[[#This Row],[Discount]]</f>
        <v>4307.93</v>
      </c>
      <c r="K1356" s="1">
        <v>44986</v>
      </c>
      <c r="L1356" s="11">
        <v>44987</v>
      </c>
      <c r="M1356">
        <f>DATEDIF(Table1_1[[#This Row],[Order Date]],Table1_1[[#This Row],[Ship Date]],"D")</f>
        <v>1</v>
      </c>
    </row>
    <row r="1357" spans="1:13" x14ac:dyDescent="0.35">
      <c r="A1357" t="s">
        <v>1770</v>
      </c>
      <c r="B1357" t="s">
        <v>23</v>
      </c>
      <c r="C1357" t="s">
        <v>357</v>
      </c>
      <c r="D1357" s="2">
        <v>4082.42</v>
      </c>
      <c r="E1357">
        <v>8</v>
      </c>
      <c r="F1357">
        <v>0.2</v>
      </c>
      <c r="G1357" t="s">
        <v>14</v>
      </c>
      <c r="H1357" t="s">
        <v>15</v>
      </c>
      <c r="I1357" t="s">
        <v>43</v>
      </c>
      <c r="J1357" s="2">
        <f>Table1_1[[#This Row],[Sales]]-Table1_1[[#This Row],[Sales]]*Table1_1[[#This Row],[Discount]]</f>
        <v>3265.9360000000001</v>
      </c>
      <c r="K1357" s="1">
        <v>45085</v>
      </c>
      <c r="L1357" s="11">
        <v>45087</v>
      </c>
      <c r="M1357">
        <f>DATEDIF(Table1_1[[#This Row],[Order Date]],Table1_1[[#This Row],[Ship Date]],"D")</f>
        <v>2</v>
      </c>
    </row>
    <row r="1358" spans="1:13" x14ac:dyDescent="0.35">
      <c r="A1358" t="s">
        <v>1771</v>
      </c>
      <c r="B1358" t="s">
        <v>253</v>
      </c>
      <c r="C1358" t="s">
        <v>237</v>
      </c>
      <c r="D1358" s="2">
        <v>4533.8500000000004</v>
      </c>
      <c r="E1358">
        <v>3</v>
      </c>
      <c r="F1358">
        <v>0.2</v>
      </c>
      <c r="G1358" t="s">
        <v>39</v>
      </c>
      <c r="H1358" t="s">
        <v>21</v>
      </c>
      <c r="I1358" t="s">
        <v>16</v>
      </c>
      <c r="J1358" s="2">
        <f>Table1_1[[#This Row],[Sales]]-Table1_1[[#This Row],[Sales]]*Table1_1[[#This Row],[Discount]]</f>
        <v>3627.0800000000004</v>
      </c>
      <c r="K1358" s="1">
        <v>45782</v>
      </c>
      <c r="L1358" s="11">
        <v>45788</v>
      </c>
      <c r="M1358">
        <f>DATEDIF(Table1_1[[#This Row],[Order Date]],Table1_1[[#This Row],[Ship Date]],"D")</f>
        <v>6</v>
      </c>
    </row>
    <row r="1359" spans="1:13" x14ac:dyDescent="0.35">
      <c r="A1359" t="s">
        <v>1772</v>
      </c>
      <c r="B1359" t="s">
        <v>639</v>
      </c>
      <c r="C1359" t="s">
        <v>450</v>
      </c>
      <c r="D1359" s="2">
        <v>487.27</v>
      </c>
      <c r="E1359">
        <v>7</v>
      </c>
      <c r="F1359">
        <v>0.3</v>
      </c>
      <c r="G1359" t="s">
        <v>39</v>
      </c>
      <c r="H1359" t="s">
        <v>21</v>
      </c>
      <c r="I1359" t="s">
        <v>16</v>
      </c>
      <c r="J1359" s="2">
        <f>Table1_1[[#This Row],[Sales]]-Table1_1[[#This Row],[Sales]]*Table1_1[[#This Row],[Discount]]</f>
        <v>341.089</v>
      </c>
      <c r="K1359" s="1">
        <v>45542</v>
      </c>
      <c r="L1359" s="11">
        <v>45548</v>
      </c>
      <c r="M1359">
        <f>DATEDIF(Table1_1[[#This Row],[Order Date]],Table1_1[[#This Row],[Ship Date]],"D")</f>
        <v>6</v>
      </c>
    </row>
    <row r="1360" spans="1:13" x14ac:dyDescent="0.35">
      <c r="A1360" t="s">
        <v>1773</v>
      </c>
      <c r="B1360" t="s">
        <v>391</v>
      </c>
      <c r="C1360" t="s">
        <v>89</v>
      </c>
      <c r="D1360" s="2">
        <v>3890.44</v>
      </c>
      <c r="E1360">
        <v>5</v>
      </c>
      <c r="F1360">
        <v>0</v>
      </c>
      <c r="G1360" t="s">
        <v>19</v>
      </c>
      <c r="H1360" t="s">
        <v>21</v>
      </c>
      <c r="I1360" t="s">
        <v>16</v>
      </c>
      <c r="J1360" s="2">
        <f>Table1_1[[#This Row],[Sales]]-Table1_1[[#This Row],[Sales]]*Table1_1[[#This Row],[Discount]]</f>
        <v>3890.44</v>
      </c>
      <c r="K1360" s="1">
        <v>45648</v>
      </c>
      <c r="L1360" s="11">
        <v>45650</v>
      </c>
      <c r="M1360">
        <f>DATEDIF(Table1_1[[#This Row],[Order Date]],Table1_1[[#This Row],[Ship Date]],"D")</f>
        <v>2</v>
      </c>
    </row>
    <row r="1361" spans="1:13" x14ac:dyDescent="0.35">
      <c r="A1361" t="s">
        <v>1774</v>
      </c>
      <c r="B1361" t="s">
        <v>891</v>
      </c>
      <c r="C1361" t="s">
        <v>31</v>
      </c>
      <c r="D1361" s="2">
        <v>4394.45</v>
      </c>
      <c r="E1361">
        <v>1</v>
      </c>
      <c r="F1361">
        <v>0.3</v>
      </c>
      <c r="G1361" t="s">
        <v>14</v>
      </c>
      <c r="H1361" t="s">
        <v>21</v>
      </c>
      <c r="I1361" t="s">
        <v>16</v>
      </c>
      <c r="J1361" s="2">
        <f>Table1_1[[#This Row],[Sales]]-Table1_1[[#This Row],[Sales]]*Table1_1[[#This Row],[Discount]]</f>
        <v>3076.1149999999998</v>
      </c>
      <c r="K1361" s="1">
        <v>45461</v>
      </c>
      <c r="L1361" s="11">
        <v>45467</v>
      </c>
      <c r="M1361">
        <f>DATEDIF(Table1_1[[#This Row],[Order Date]],Table1_1[[#This Row],[Ship Date]],"D")</f>
        <v>6</v>
      </c>
    </row>
    <row r="1362" spans="1:13" x14ac:dyDescent="0.35">
      <c r="A1362" t="s">
        <v>1775</v>
      </c>
      <c r="B1362" t="s">
        <v>394</v>
      </c>
      <c r="C1362" t="s">
        <v>240</v>
      </c>
      <c r="D1362" s="2">
        <v>4747.58</v>
      </c>
      <c r="E1362">
        <v>6</v>
      </c>
      <c r="F1362">
        <v>0.1</v>
      </c>
      <c r="G1362" t="s">
        <v>39</v>
      </c>
      <c r="H1362" t="s">
        <v>15</v>
      </c>
      <c r="I1362" t="s">
        <v>16</v>
      </c>
      <c r="J1362" s="2">
        <f>Table1_1[[#This Row],[Sales]]-Table1_1[[#This Row],[Sales]]*Table1_1[[#This Row],[Discount]]</f>
        <v>4272.8220000000001</v>
      </c>
      <c r="K1362" s="1">
        <v>45137</v>
      </c>
      <c r="L1362" s="11">
        <v>45144</v>
      </c>
      <c r="M1362">
        <f>DATEDIF(Table1_1[[#This Row],[Order Date]],Table1_1[[#This Row],[Ship Date]],"D")</f>
        <v>7</v>
      </c>
    </row>
    <row r="1363" spans="1:13" x14ac:dyDescent="0.35">
      <c r="A1363" t="s">
        <v>1776</v>
      </c>
      <c r="B1363" t="s">
        <v>614</v>
      </c>
      <c r="C1363" t="s">
        <v>1012</v>
      </c>
      <c r="D1363" s="2">
        <v>1282.8</v>
      </c>
      <c r="E1363">
        <v>9</v>
      </c>
      <c r="F1363">
        <v>0.1</v>
      </c>
      <c r="G1363" t="s">
        <v>19</v>
      </c>
      <c r="H1363" t="s">
        <v>15</v>
      </c>
      <c r="I1363" t="s">
        <v>16</v>
      </c>
      <c r="J1363" s="2">
        <f>Table1_1[[#This Row],[Sales]]-Table1_1[[#This Row],[Sales]]*Table1_1[[#This Row],[Discount]]</f>
        <v>1154.52</v>
      </c>
      <c r="K1363" s="1">
        <v>45593</v>
      </c>
      <c r="L1363" s="11">
        <v>45600</v>
      </c>
      <c r="M1363">
        <f>DATEDIF(Table1_1[[#This Row],[Order Date]],Table1_1[[#This Row],[Ship Date]],"D")</f>
        <v>7</v>
      </c>
    </row>
    <row r="1364" spans="1:13" x14ac:dyDescent="0.35">
      <c r="A1364" t="s">
        <v>1777</v>
      </c>
      <c r="B1364" t="s">
        <v>250</v>
      </c>
      <c r="C1364" t="s">
        <v>102</v>
      </c>
      <c r="D1364" s="2">
        <v>3054.91</v>
      </c>
      <c r="E1364">
        <v>9</v>
      </c>
      <c r="F1364">
        <v>0.2</v>
      </c>
      <c r="G1364" t="s">
        <v>14</v>
      </c>
      <c r="H1364" t="s">
        <v>21</v>
      </c>
      <c r="I1364" t="s">
        <v>16</v>
      </c>
      <c r="J1364" s="2">
        <f>Table1_1[[#This Row],[Sales]]-Table1_1[[#This Row],[Sales]]*Table1_1[[#This Row],[Discount]]</f>
        <v>2443.9279999999999</v>
      </c>
      <c r="K1364" s="1">
        <v>45342</v>
      </c>
      <c r="L1364" s="11">
        <v>45343</v>
      </c>
      <c r="M1364">
        <f>DATEDIF(Table1_1[[#This Row],[Order Date]],Table1_1[[#This Row],[Ship Date]],"D")</f>
        <v>1</v>
      </c>
    </row>
    <row r="1365" spans="1:13" x14ac:dyDescent="0.35">
      <c r="A1365" t="s">
        <v>1778</v>
      </c>
      <c r="B1365" t="s">
        <v>1651</v>
      </c>
      <c r="C1365" t="s">
        <v>175</v>
      </c>
      <c r="D1365" s="2">
        <v>2385.41</v>
      </c>
      <c r="E1365">
        <v>9</v>
      </c>
      <c r="F1365">
        <v>0.2</v>
      </c>
      <c r="G1365" t="s">
        <v>19</v>
      </c>
      <c r="H1365" t="s">
        <v>15</v>
      </c>
      <c r="I1365" t="s">
        <v>43</v>
      </c>
      <c r="J1365" s="2">
        <f>Table1_1[[#This Row],[Sales]]-Table1_1[[#This Row],[Sales]]*Table1_1[[#This Row],[Discount]]</f>
        <v>1908.328</v>
      </c>
      <c r="K1365" s="1">
        <v>45496</v>
      </c>
      <c r="L1365" s="11">
        <v>45501</v>
      </c>
      <c r="M1365">
        <f>DATEDIF(Table1_1[[#This Row],[Order Date]],Table1_1[[#This Row],[Ship Date]],"D")</f>
        <v>5</v>
      </c>
    </row>
    <row r="1366" spans="1:13" x14ac:dyDescent="0.35">
      <c r="A1366" t="s">
        <v>1779</v>
      </c>
      <c r="B1366" t="s">
        <v>876</v>
      </c>
      <c r="C1366" t="s">
        <v>281</v>
      </c>
      <c r="D1366" s="2">
        <v>3030.9</v>
      </c>
      <c r="E1366">
        <v>3</v>
      </c>
      <c r="F1366">
        <v>0.2</v>
      </c>
      <c r="G1366" t="s">
        <v>14</v>
      </c>
      <c r="H1366" t="s">
        <v>15</v>
      </c>
      <c r="I1366" t="s">
        <v>43</v>
      </c>
      <c r="J1366" s="2">
        <f>Table1_1[[#This Row],[Sales]]-Table1_1[[#This Row],[Sales]]*Table1_1[[#This Row],[Discount]]</f>
        <v>2424.7200000000003</v>
      </c>
      <c r="K1366" s="1">
        <v>45715</v>
      </c>
      <c r="L1366" s="11">
        <v>45722</v>
      </c>
      <c r="M1366">
        <f>DATEDIF(Table1_1[[#This Row],[Order Date]],Table1_1[[#This Row],[Ship Date]],"D")</f>
        <v>7</v>
      </c>
    </row>
    <row r="1367" spans="1:13" x14ac:dyDescent="0.35">
      <c r="A1367" t="s">
        <v>1780</v>
      </c>
      <c r="B1367" t="s">
        <v>250</v>
      </c>
      <c r="C1367" t="s">
        <v>448</v>
      </c>
      <c r="D1367" s="2">
        <v>3854.49</v>
      </c>
      <c r="E1367">
        <v>8</v>
      </c>
      <c r="F1367">
        <v>0.1</v>
      </c>
      <c r="G1367" t="s">
        <v>14</v>
      </c>
      <c r="H1367" t="s">
        <v>15</v>
      </c>
      <c r="I1367" t="s">
        <v>20</v>
      </c>
      <c r="J1367" s="2">
        <f>Table1_1[[#This Row],[Sales]]-Table1_1[[#This Row],[Sales]]*Table1_1[[#This Row],[Discount]]</f>
        <v>3469.0409999999997</v>
      </c>
      <c r="K1367" s="1">
        <v>45627</v>
      </c>
      <c r="L1367" s="11">
        <v>45628</v>
      </c>
      <c r="M1367">
        <f>DATEDIF(Table1_1[[#This Row],[Order Date]],Table1_1[[#This Row],[Ship Date]],"D")</f>
        <v>1</v>
      </c>
    </row>
    <row r="1368" spans="1:13" x14ac:dyDescent="0.35">
      <c r="A1368" t="s">
        <v>1781</v>
      </c>
      <c r="B1368" t="s">
        <v>36</v>
      </c>
      <c r="C1368" t="s">
        <v>113</v>
      </c>
      <c r="D1368" s="2">
        <v>2252.29</v>
      </c>
      <c r="E1368">
        <v>1</v>
      </c>
      <c r="F1368">
        <v>0.3</v>
      </c>
      <c r="G1368" t="s">
        <v>39</v>
      </c>
      <c r="H1368" t="s">
        <v>15</v>
      </c>
      <c r="I1368" t="s">
        <v>16</v>
      </c>
      <c r="J1368" s="2">
        <f>Table1_1[[#This Row],[Sales]]-Table1_1[[#This Row],[Sales]]*Table1_1[[#This Row],[Discount]]</f>
        <v>1576.6030000000001</v>
      </c>
      <c r="K1368" s="1">
        <v>45454</v>
      </c>
      <c r="L1368" s="11">
        <v>45456</v>
      </c>
      <c r="M1368">
        <f>DATEDIF(Table1_1[[#This Row],[Order Date]],Table1_1[[#This Row],[Ship Date]],"D")</f>
        <v>2</v>
      </c>
    </row>
    <row r="1369" spans="1:13" x14ac:dyDescent="0.35">
      <c r="A1369" t="s">
        <v>1782</v>
      </c>
      <c r="B1369" t="s">
        <v>326</v>
      </c>
      <c r="C1369" t="s">
        <v>105</v>
      </c>
      <c r="D1369" s="2">
        <v>3467.19</v>
      </c>
      <c r="E1369">
        <v>8</v>
      </c>
      <c r="F1369">
        <v>0.2</v>
      </c>
      <c r="G1369" t="s">
        <v>19</v>
      </c>
      <c r="H1369" t="s">
        <v>15</v>
      </c>
      <c r="I1369" t="s">
        <v>43</v>
      </c>
      <c r="J1369" s="2">
        <f>Table1_1[[#This Row],[Sales]]-Table1_1[[#This Row],[Sales]]*Table1_1[[#This Row],[Discount]]</f>
        <v>2773.752</v>
      </c>
      <c r="K1369" s="1">
        <v>45433</v>
      </c>
      <c r="L1369" s="11">
        <v>45434</v>
      </c>
      <c r="M1369">
        <f>DATEDIF(Table1_1[[#This Row],[Order Date]],Table1_1[[#This Row],[Ship Date]],"D")</f>
        <v>1</v>
      </c>
    </row>
    <row r="1370" spans="1:13" x14ac:dyDescent="0.35">
      <c r="A1370" t="s">
        <v>1783</v>
      </c>
      <c r="B1370" t="s">
        <v>374</v>
      </c>
      <c r="C1370" t="s">
        <v>542</v>
      </c>
      <c r="D1370" s="2">
        <v>3786.81</v>
      </c>
      <c r="E1370">
        <v>4</v>
      </c>
      <c r="F1370">
        <v>0.1</v>
      </c>
      <c r="G1370" t="s">
        <v>14</v>
      </c>
      <c r="H1370" t="s">
        <v>15</v>
      </c>
      <c r="I1370" t="s">
        <v>20</v>
      </c>
      <c r="J1370" s="2">
        <f>Table1_1[[#This Row],[Sales]]-Table1_1[[#This Row],[Sales]]*Table1_1[[#This Row],[Discount]]</f>
        <v>3408.1289999999999</v>
      </c>
      <c r="K1370" s="1">
        <v>45220</v>
      </c>
      <c r="L1370" s="11">
        <v>45226</v>
      </c>
      <c r="M1370">
        <f>DATEDIF(Table1_1[[#This Row],[Order Date]],Table1_1[[#This Row],[Ship Date]],"D")</f>
        <v>6</v>
      </c>
    </row>
    <row r="1371" spans="1:13" x14ac:dyDescent="0.35">
      <c r="A1371" t="s">
        <v>1784</v>
      </c>
      <c r="B1371" t="s">
        <v>913</v>
      </c>
      <c r="C1371" t="s">
        <v>89</v>
      </c>
      <c r="D1371" s="2">
        <v>3314.73</v>
      </c>
      <c r="E1371">
        <v>3</v>
      </c>
      <c r="F1371">
        <v>0.2</v>
      </c>
      <c r="G1371" t="s">
        <v>14</v>
      </c>
      <c r="H1371" t="s">
        <v>15</v>
      </c>
      <c r="I1371" t="s">
        <v>20</v>
      </c>
      <c r="J1371" s="2">
        <f>Table1_1[[#This Row],[Sales]]-Table1_1[[#This Row],[Sales]]*Table1_1[[#This Row],[Discount]]</f>
        <v>2651.7840000000001</v>
      </c>
      <c r="K1371" s="1">
        <v>45291</v>
      </c>
      <c r="L1371" s="11">
        <v>45296</v>
      </c>
      <c r="M1371">
        <f>DATEDIF(Table1_1[[#This Row],[Order Date]],Table1_1[[#This Row],[Ship Date]],"D")</f>
        <v>5</v>
      </c>
    </row>
    <row r="1372" spans="1:13" x14ac:dyDescent="0.35">
      <c r="A1372" t="s">
        <v>1785</v>
      </c>
      <c r="B1372" t="s">
        <v>1299</v>
      </c>
      <c r="C1372" t="s">
        <v>278</v>
      </c>
      <c r="D1372" s="2">
        <v>1280.1400000000001</v>
      </c>
      <c r="E1372">
        <v>10</v>
      </c>
      <c r="F1372">
        <v>0</v>
      </c>
      <c r="G1372" t="s">
        <v>19</v>
      </c>
      <c r="H1372" t="s">
        <v>21</v>
      </c>
      <c r="I1372" t="s">
        <v>20</v>
      </c>
      <c r="J1372" s="2">
        <f>Table1_1[[#This Row],[Sales]]-Table1_1[[#This Row],[Sales]]*Table1_1[[#This Row],[Discount]]</f>
        <v>1280.1400000000001</v>
      </c>
      <c r="K1372" s="1">
        <v>45122</v>
      </c>
      <c r="L1372" s="11">
        <v>45128</v>
      </c>
      <c r="M1372">
        <f>DATEDIF(Table1_1[[#This Row],[Order Date]],Table1_1[[#This Row],[Ship Date]],"D")</f>
        <v>6</v>
      </c>
    </row>
    <row r="1373" spans="1:13" x14ac:dyDescent="0.35">
      <c r="A1373" t="s">
        <v>1786</v>
      </c>
      <c r="B1373" t="s">
        <v>363</v>
      </c>
      <c r="C1373" t="s">
        <v>194</v>
      </c>
      <c r="D1373" s="2">
        <v>987.55</v>
      </c>
      <c r="E1373">
        <v>10</v>
      </c>
      <c r="F1373">
        <v>0</v>
      </c>
      <c r="G1373" t="s">
        <v>19</v>
      </c>
      <c r="H1373" t="s">
        <v>21</v>
      </c>
      <c r="I1373" t="s">
        <v>43</v>
      </c>
      <c r="J1373" s="2">
        <f>Table1_1[[#This Row],[Sales]]-Table1_1[[#This Row],[Sales]]*Table1_1[[#This Row],[Discount]]</f>
        <v>987.55</v>
      </c>
      <c r="K1373" s="1">
        <v>45332</v>
      </c>
      <c r="L1373" s="11">
        <v>45334</v>
      </c>
      <c r="M1373">
        <f>DATEDIF(Table1_1[[#This Row],[Order Date]],Table1_1[[#This Row],[Ship Date]],"D")</f>
        <v>2</v>
      </c>
    </row>
    <row r="1374" spans="1:13" x14ac:dyDescent="0.35">
      <c r="A1374" t="s">
        <v>1787</v>
      </c>
      <c r="B1374" t="s">
        <v>18</v>
      </c>
      <c r="C1374" t="s">
        <v>293</v>
      </c>
      <c r="D1374" s="2">
        <v>384.61</v>
      </c>
      <c r="E1374">
        <v>3</v>
      </c>
      <c r="F1374">
        <v>0.3</v>
      </c>
      <c r="G1374" t="s">
        <v>19</v>
      </c>
      <c r="H1374" t="s">
        <v>15</v>
      </c>
      <c r="I1374" t="s">
        <v>43</v>
      </c>
      <c r="J1374" s="2">
        <f>Table1_1[[#This Row],[Sales]]-Table1_1[[#This Row],[Sales]]*Table1_1[[#This Row],[Discount]]</f>
        <v>269.22700000000003</v>
      </c>
      <c r="K1374" s="1">
        <v>45787</v>
      </c>
      <c r="L1374" s="11">
        <v>45789</v>
      </c>
      <c r="M1374">
        <f>DATEDIF(Table1_1[[#This Row],[Order Date]],Table1_1[[#This Row],[Ship Date]],"D")</f>
        <v>2</v>
      </c>
    </row>
    <row r="1375" spans="1:13" x14ac:dyDescent="0.35">
      <c r="A1375" t="s">
        <v>1788</v>
      </c>
      <c r="B1375" t="s">
        <v>505</v>
      </c>
      <c r="C1375" t="s">
        <v>214</v>
      </c>
      <c r="D1375" s="2">
        <v>1424.86</v>
      </c>
      <c r="E1375">
        <v>3</v>
      </c>
      <c r="F1375">
        <v>0.1</v>
      </c>
      <c r="G1375" t="s">
        <v>14</v>
      </c>
      <c r="H1375" t="s">
        <v>15</v>
      </c>
      <c r="I1375" t="s">
        <v>43</v>
      </c>
      <c r="J1375" s="2">
        <f>Table1_1[[#This Row],[Sales]]-Table1_1[[#This Row],[Sales]]*Table1_1[[#This Row],[Discount]]</f>
        <v>1282.3739999999998</v>
      </c>
      <c r="K1375" s="1">
        <v>45689</v>
      </c>
      <c r="L1375" s="11">
        <v>45696</v>
      </c>
      <c r="M1375">
        <f>DATEDIF(Table1_1[[#This Row],[Order Date]],Table1_1[[#This Row],[Ship Date]],"D")</f>
        <v>7</v>
      </c>
    </row>
    <row r="1376" spans="1:13" x14ac:dyDescent="0.35">
      <c r="A1376" t="s">
        <v>1789</v>
      </c>
      <c r="B1376" t="s">
        <v>986</v>
      </c>
      <c r="C1376" t="s">
        <v>118</v>
      </c>
      <c r="D1376" s="2">
        <v>4845.72</v>
      </c>
      <c r="E1376">
        <v>2</v>
      </c>
      <c r="F1376">
        <v>0.2</v>
      </c>
      <c r="G1376" t="s">
        <v>14</v>
      </c>
      <c r="H1376" t="s">
        <v>21</v>
      </c>
      <c r="I1376" t="s">
        <v>16</v>
      </c>
      <c r="J1376" s="2">
        <f>Table1_1[[#This Row],[Sales]]-Table1_1[[#This Row],[Sales]]*Table1_1[[#This Row],[Discount]]</f>
        <v>3876.576</v>
      </c>
      <c r="K1376" s="1">
        <v>45623</v>
      </c>
      <c r="L1376" s="11">
        <v>45626</v>
      </c>
      <c r="M1376">
        <f>DATEDIF(Table1_1[[#This Row],[Order Date]],Table1_1[[#This Row],[Ship Date]],"D")</f>
        <v>3</v>
      </c>
    </row>
    <row r="1377" spans="1:13" x14ac:dyDescent="0.35">
      <c r="A1377" t="s">
        <v>1790</v>
      </c>
      <c r="B1377" t="s">
        <v>182</v>
      </c>
      <c r="C1377" t="s">
        <v>34</v>
      </c>
      <c r="D1377" s="2">
        <v>3128.16</v>
      </c>
      <c r="E1377">
        <v>7</v>
      </c>
      <c r="F1377">
        <v>0.2</v>
      </c>
      <c r="G1377" t="s">
        <v>39</v>
      </c>
      <c r="H1377" t="s">
        <v>15</v>
      </c>
      <c r="I1377" t="s">
        <v>20</v>
      </c>
      <c r="J1377" s="2">
        <f>Table1_1[[#This Row],[Sales]]-Table1_1[[#This Row],[Sales]]*Table1_1[[#This Row],[Discount]]</f>
        <v>2502.5279999999998</v>
      </c>
      <c r="K1377" s="1">
        <v>44934</v>
      </c>
      <c r="L1377" s="11">
        <v>44937</v>
      </c>
      <c r="M1377">
        <f>DATEDIF(Table1_1[[#This Row],[Order Date]],Table1_1[[#This Row],[Ship Date]],"D")</f>
        <v>3</v>
      </c>
    </row>
    <row r="1378" spans="1:13" x14ac:dyDescent="0.35">
      <c r="A1378" t="s">
        <v>1791</v>
      </c>
      <c r="B1378" t="s">
        <v>530</v>
      </c>
      <c r="C1378" t="s">
        <v>91</v>
      </c>
      <c r="D1378" s="2">
        <v>4938.9799999999996</v>
      </c>
      <c r="E1378">
        <v>10</v>
      </c>
      <c r="F1378">
        <v>0.3</v>
      </c>
      <c r="G1378" t="s">
        <v>14</v>
      </c>
      <c r="H1378" t="s">
        <v>15</v>
      </c>
      <c r="I1378" t="s">
        <v>16</v>
      </c>
      <c r="J1378" s="2">
        <f>Table1_1[[#This Row],[Sales]]-Table1_1[[#This Row],[Sales]]*Table1_1[[#This Row],[Discount]]</f>
        <v>3457.2860000000001</v>
      </c>
      <c r="K1378" s="1">
        <v>45555</v>
      </c>
      <c r="L1378" s="11">
        <v>45558</v>
      </c>
      <c r="M1378">
        <f>DATEDIF(Table1_1[[#This Row],[Order Date]],Table1_1[[#This Row],[Ship Date]],"D")</f>
        <v>3</v>
      </c>
    </row>
    <row r="1379" spans="1:13" x14ac:dyDescent="0.35">
      <c r="A1379" t="s">
        <v>1792</v>
      </c>
      <c r="B1379" t="s">
        <v>548</v>
      </c>
      <c r="C1379" t="s">
        <v>273</v>
      </c>
      <c r="D1379" s="2">
        <v>1050.97</v>
      </c>
      <c r="E1379">
        <v>7</v>
      </c>
      <c r="F1379">
        <v>0.3</v>
      </c>
      <c r="G1379" t="s">
        <v>39</v>
      </c>
      <c r="H1379" t="s">
        <v>21</v>
      </c>
      <c r="I1379" t="s">
        <v>43</v>
      </c>
      <c r="J1379" s="2">
        <f>Table1_1[[#This Row],[Sales]]-Table1_1[[#This Row],[Sales]]*Table1_1[[#This Row],[Discount]]</f>
        <v>735.67900000000009</v>
      </c>
      <c r="K1379" s="1">
        <v>45572</v>
      </c>
      <c r="L1379" s="11">
        <v>45575</v>
      </c>
      <c r="M1379">
        <f>DATEDIF(Table1_1[[#This Row],[Order Date]],Table1_1[[#This Row],[Ship Date]],"D")</f>
        <v>3</v>
      </c>
    </row>
    <row r="1380" spans="1:13" x14ac:dyDescent="0.35">
      <c r="A1380" t="s">
        <v>1793</v>
      </c>
      <c r="B1380" t="s">
        <v>1794</v>
      </c>
      <c r="C1380" t="s">
        <v>268</v>
      </c>
      <c r="D1380" s="2">
        <v>2402.4</v>
      </c>
      <c r="E1380">
        <v>10</v>
      </c>
      <c r="F1380">
        <v>0.3</v>
      </c>
      <c r="G1380" t="s">
        <v>39</v>
      </c>
      <c r="H1380" t="s">
        <v>21</v>
      </c>
      <c r="I1380" t="s">
        <v>43</v>
      </c>
      <c r="J1380" s="2">
        <f>Table1_1[[#This Row],[Sales]]-Table1_1[[#This Row],[Sales]]*Table1_1[[#This Row],[Discount]]</f>
        <v>1681.68</v>
      </c>
      <c r="K1380" s="1">
        <v>45116</v>
      </c>
      <c r="L1380" s="11">
        <v>45120</v>
      </c>
      <c r="M1380">
        <f>DATEDIF(Table1_1[[#This Row],[Order Date]],Table1_1[[#This Row],[Ship Date]],"D")</f>
        <v>4</v>
      </c>
    </row>
    <row r="1381" spans="1:13" x14ac:dyDescent="0.35">
      <c r="A1381" t="s">
        <v>1795</v>
      </c>
      <c r="B1381" t="s">
        <v>627</v>
      </c>
      <c r="C1381" t="s">
        <v>180</v>
      </c>
      <c r="D1381" s="2">
        <v>3421.96</v>
      </c>
      <c r="E1381">
        <v>4</v>
      </c>
      <c r="F1381">
        <v>0</v>
      </c>
      <c r="G1381" t="s">
        <v>19</v>
      </c>
      <c r="H1381" t="s">
        <v>15</v>
      </c>
      <c r="I1381" t="s">
        <v>43</v>
      </c>
      <c r="J1381" s="2">
        <f>Table1_1[[#This Row],[Sales]]-Table1_1[[#This Row],[Sales]]*Table1_1[[#This Row],[Discount]]</f>
        <v>3421.96</v>
      </c>
      <c r="K1381" s="1">
        <v>45603</v>
      </c>
      <c r="L1381" s="11">
        <v>45604</v>
      </c>
      <c r="M1381">
        <f>DATEDIF(Table1_1[[#This Row],[Order Date]],Table1_1[[#This Row],[Ship Date]],"D")</f>
        <v>1</v>
      </c>
    </row>
    <row r="1382" spans="1:13" x14ac:dyDescent="0.35">
      <c r="A1382" t="s">
        <v>1796</v>
      </c>
      <c r="B1382" t="s">
        <v>632</v>
      </c>
      <c r="C1382" t="s">
        <v>105</v>
      </c>
      <c r="D1382" s="2">
        <v>1452.16</v>
      </c>
      <c r="E1382">
        <v>6</v>
      </c>
      <c r="F1382">
        <v>0.2</v>
      </c>
      <c r="G1382" t="s">
        <v>39</v>
      </c>
      <c r="H1382" t="s">
        <v>15</v>
      </c>
      <c r="I1382" t="s">
        <v>16</v>
      </c>
      <c r="J1382" s="2">
        <f>Table1_1[[#This Row],[Sales]]-Table1_1[[#This Row],[Sales]]*Table1_1[[#This Row],[Discount]]</f>
        <v>1161.7280000000001</v>
      </c>
      <c r="K1382" s="1">
        <v>45145</v>
      </c>
      <c r="L1382" s="11">
        <v>45147</v>
      </c>
      <c r="M1382">
        <f>DATEDIF(Table1_1[[#This Row],[Order Date]],Table1_1[[#This Row],[Ship Date]],"D")</f>
        <v>2</v>
      </c>
    </row>
    <row r="1383" spans="1:13" x14ac:dyDescent="0.35">
      <c r="A1383" t="s">
        <v>1797</v>
      </c>
      <c r="B1383" t="s">
        <v>1242</v>
      </c>
      <c r="C1383" t="s">
        <v>281</v>
      </c>
      <c r="D1383" s="2">
        <v>1235.22</v>
      </c>
      <c r="E1383">
        <v>3</v>
      </c>
      <c r="F1383">
        <v>0.3</v>
      </c>
      <c r="G1383" t="s">
        <v>39</v>
      </c>
      <c r="H1383" t="s">
        <v>15</v>
      </c>
      <c r="I1383" t="s">
        <v>20</v>
      </c>
      <c r="J1383" s="2">
        <f>Table1_1[[#This Row],[Sales]]-Table1_1[[#This Row],[Sales]]*Table1_1[[#This Row],[Discount]]</f>
        <v>864.654</v>
      </c>
      <c r="K1383" s="1">
        <v>45689</v>
      </c>
      <c r="L1383" s="11">
        <v>45696</v>
      </c>
      <c r="M1383">
        <f>DATEDIF(Table1_1[[#This Row],[Order Date]],Table1_1[[#This Row],[Ship Date]],"D")</f>
        <v>7</v>
      </c>
    </row>
    <row r="1384" spans="1:13" x14ac:dyDescent="0.35">
      <c r="A1384" t="s">
        <v>1798</v>
      </c>
      <c r="B1384" t="s">
        <v>438</v>
      </c>
      <c r="C1384" t="s">
        <v>163</v>
      </c>
      <c r="D1384" s="2">
        <v>2881.69</v>
      </c>
      <c r="E1384">
        <v>5</v>
      </c>
      <c r="F1384">
        <v>0.2</v>
      </c>
      <c r="G1384" t="s">
        <v>14</v>
      </c>
      <c r="H1384" t="s">
        <v>15</v>
      </c>
      <c r="I1384" t="s">
        <v>16</v>
      </c>
      <c r="J1384" s="2">
        <f>Table1_1[[#This Row],[Sales]]-Table1_1[[#This Row],[Sales]]*Table1_1[[#This Row],[Discount]]</f>
        <v>2305.3519999999999</v>
      </c>
      <c r="K1384" s="1">
        <v>45794</v>
      </c>
      <c r="L1384" s="11">
        <v>45801</v>
      </c>
      <c r="M1384">
        <f>DATEDIF(Table1_1[[#This Row],[Order Date]],Table1_1[[#This Row],[Ship Date]],"D")</f>
        <v>7</v>
      </c>
    </row>
    <row r="1385" spans="1:13" x14ac:dyDescent="0.35">
      <c r="A1385" t="s">
        <v>1799</v>
      </c>
      <c r="B1385" t="s">
        <v>18</v>
      </c>
      <c r="C1385" t="s">
        <v>376</v>
      </c>
      <c r="D1385" s="2">
        <v>2980.53</v>
      </c>
      <c r="E1385">
        <v>5</v>
      </c>
      <c r="F1385">
        <v>0.1</v>
      </c>
      <c r="G1385" t="s">
        <v>19</v>
      </c>
      <c r="H1385" t="s">
        <v>15</v>
      </c>
      <c r="I1385" t="s">
        <v>16</v>
      </c>
      <c r="J1385" s="2">
        <f>Table1_1[[#This Row],[Sales]]-Table1_1[[#This Row],[Sales]]*Table1_1[[#This Row],[Discount]]</f>
        <v>2682.4770000000003</v>
      </c>
      <c r="K1385" s="1">
        <v>45525</v>
      </c>
      <c r="L1385" s="11">
        <v>45529</v>
      </c>
      <c r="M1385">
        <f>DATEDIF(Table1_1[[#This Row],[Order Date]],Table1_1[[#This Row],[Ship Date]],"D")</f>
        <v>4</v>
      </c>
    </row>
    <row r="1386" spans="1:13" x14ac:dyDescent="0.35">
      <c r="A1386" t="s">
        <v>1800</v>
      </c>
      <c r="B1386" t="s">
        <v>1279</v>
      </c>
      <c r="C1386" t="s">
        <v>441</v>
      </c>
      <c r="D1386" s="2">
        <v>273.79000000000002</v>
      </c>
      <c r="E1386">
        <v>2</v>
      </c>
      <c r="F1386">
        <v>0.1</v>
      </c>
      <c r="G1386" t="s">
        <v>14</v>
      </c>
      <c r="H1386" t="s">
        <v>15</v>
      </c>
      <c r="I1386" t="s">
        <v>43</v>
      </c>
      <c r="J1386" s="2">
        <f>Table1_1[[#This Row],[Sales]]-Table1_1[[#This Row],[Sales]]*Table1_1[[#This Row],[Discount]]</f>
        <v>246.411</v>
      </c>
      <c r="K1386" s="1">
        <v>45818</v>
      </c>
      <c r="L1386" s="11">
        <v>45824</v>
      </c>
      <c r="M1386">
        <f>DATEDIF(Table1_1[[#This Row],[Order Date]],Table1_1[[#This Row],[Ship Date]],"D")</f>
        <v>6</v>
      </c>
    </row>
    <row r="1387" spans="1:13" x14ac:dyDescent="0.35">
      <c r="A1387" t="s">
        <v>1801</v>
      </c>
      <c r="B1387" t="s">
        <v>380</v>
      </c>
      <c r="C1387" t="s">
        <v>262</v>
      </c>
      <c r="D1387" s="2">
        <v>3342.94</v>
      </c>
      <c r="E1387">
        <v>8</v>
      </c>
      <c r="F1387">
        <v>0.1</v>
      </c>
      <c r="G1387" t="s">
        <v>39</v>
      </c>
      <c r="H1387" t="s">
        <v>21</v>
      </c>
      <c r="I1387" t="s">
        <v>43</v>
      </c>
      <c r="J1387" s="2">
        <f>Table1_1[[#This Row],[Sales]]-Table1_1[[#This Row],[Sales]]*Table1_1[[#This Row],[Discount]]</f>
        <v>3008.6460000000002</v>
      </c>
      <c r="K1387" s="1">
        <v>45395</v>
      </c>
      <c r="L1387" s="11">
        <v>45399</v>
      </c>
      <c r="M1387">
        <f>DATEDIF(Table1_1[[#This Row],[Order Date]],Table1_1[[#This Row],[Ship Date]],"D")</f>
        <v>4</v>
      </c>
    </row>
    <row r="1388" spans="1:13" x14ac:dyDescent="0.35">
      <c r="A1388" t="s">
        <v>1802</v>
      </c>
      <c r="B1388" t="s">
        <v>1166</v>
      </c>
      <c r="C1388" t="s">
        <v>376</v>
      </c>
      <c r="D1388" s="2">
        <v>1889.86</v>
      </c>
      <c r="E1388">
        <v>1</v>
      </c>
      <c r="F1388">
        <v>0.1</v>
      </c>
      <c r="G1388" t="s">
        <v>39</v>
      </c>
      <c r="H1388" t="s">
        <v>15</v>
      </c>
      <c r="I1388" t="s">
        <v>16</v>
      </c>
      <c r="J1388" s="2">
        <f>Table1_1[[#This Row],[Sales]]-Table1_1[[#This Row],[Sales]]*Table1_1[[#This Row],[Discount]]</f>
        <v>1700.8739999999998</v>
      </c>
      <c r="K1388" s="1">
        <v>45016</v>
      </c>
      <c r="L1388" s="11">
        <v>45021</v>
      </c>
      <c r="M1388">
        <f>DATEDIF(Table1_1[[#This Row],[Order Date]],Table1_1[[#This Row],[Ship Date]],"D")</f>
        <v>5</v>
      </c>
    </row>
    <row r="1389" spans="1:13" x14ac:dyDescent="0.35">
      <c r="A1389" t="s">
        <v>1803</v>
      </c>
      <c r="B1389" t="s">
        <v>842</v>
      </c>
      <c r="C1389" t="s">
        <v>13</v>
      </c>
      <c r="D1389" s="2">
        <v>1051.49</v>
      </c>
      <c r="E1389">
        <v>7</v>
      </c>
      <c r="F1389">
        <v>0</v>
      </c>
      <c r="G1389" t="s">
        <v>14</v>
      </c>
      <c r="H1389" t="s">
        <v>21</v>
      </c>
      <c r="I1389" t="s">
        <v>43</v>
      </c>
      <c r="J1389" s="2">
        <f>Table1_1[[#This Row],[Sales]]-Table1_1[[#This Row],[Sales]]*Table1_1[[#This Row],[Discount]]</f>
        <v>1051.49</v>
      </c>
      <c r="K1389" s="1">
        <v>45164</v>
      </c>
      <c r="L1389" s="11">
        <v>45168</v>
      </c>
      <c r="M1389">
        <f>DATEDIF(Table1_1[[#This Row],[Order Date]],Table1_1[[#This Row],[Ship Date]],"D")</f>
        <v>4</v>
      </c>
    </row>
    <row r="1390" spans="1:13" x14ac:dyDescent="0.35">
      <c r="A1390" t="s">
        <v>1804</v>
      </c>
      <c r="B1390" t="s">
        <v>983</v>
      </c>
      <c r="C1390" t="s">
        <v>329</v>
      </c>
      <c r="D1390" s="2">
        <v>940.02</v>
      </c>
      <c r="E1390">
        <v>8</v>
      </c>
      <c r="F1390">
        <v>0.2</v>
      </c>
      <c r="G1390" t="s">
        <v>39</v>
      </c>
      <c r="H1390" t="s">
        <v>21</v>
      </c>
      <c r="I1390" t="s">
        <v>16</v>
      </c>
      <c r="J1390" s="2">
        <f>Table1_1[[#This Row],[Sales]]-Table1_1[[#This Row],[Sales]]*Table1_1[[#This Row],[Discount]]</f>
        <v>752.01599999999996</v>
      </c>
      <c r="K1390" s="1">
        <v>44950</v>
      </c>
      <c r="L1390" s="11">
        <v>44956</v>
      </c>
      <c r="M1390">
        <f>DATEDIF(Table1_1[[#This Row],[Order Date]],Table1_1[[#This Row],[Ship Date]],"D")</f>
        <v>6</v>
      </c>
    </row>
    <row r="1391" spans="1:13" x14ac:dyDescent="0.35">
      <c r="A1391" t="s">
        <v>1805</v>
      </c>
      <c r="B1391" t="s">
        <v>704</v>
      </c>
      <c r="C1391" t="s">
        <v>458</v>
      </c>
      <c r="D1391" s="2">
        <v>3141.94</v>
      </c>
      <c r="E1391">
        <v>9</v>
      </c>
      <c r="F1391">
        <v>0.2</v>
      </c>
      <c r="G1391" t="s">
        <v>39</v>
      </c>
      <c r="H1391" t="s">
        <v>15</v>
      </c>
      <c r="I1391" t="s">
        <v>16</v>
      </c>
      <c r="J1391" s="2">
        <f>Table1_1[[#This Row],[Sales]]-Table1_1[[#This Row],[Sales]]*Table1_1[[#This Row],[Discount]]</f>
        <v>2513.5520000000001</v>
      </c>
      <c r="K1391" s="1">
        <v>45502</v>
      </c>
      <c r="L1391" s="11">
        <v>45509</v>
      </c>
      <c r="M1391">
        <f>DATEDIF(Table1_1[[#This Row],[Order Date]],Table1_1[[#This Row],[Ship Date]],"D")</f>
        <v>7</v>
      </c>
    </row>
    <row r="1392" spans="1:13" x14ac:dyDescent="0.35">
      <c r="A1392" t="s">
        <v>1806</v>
      </c>
      <c r="B1392" t="s">
        <v>41</v>
      </c>
      <c r="C1392" t="s">
        <v>388</v>
      </c>
      <c r="D1392" s="2">
        <v>3561.38</v>
      </c>
      <c r="E1392">
        <v>6</v>
      </c>
      <c r="F1392">
        <v>0.3</v>
      </c>
      <c r="G1392" t="s">
        <v>14</v>
      </c>
      <c r="H1392" t="s">
        <v>21</v>
      </c>
      <c r="I1392" t="s">
        <v>43</v>
      </c>
      <c r="J1392" s="2">
        <f>Table1_1[[#This Row],[Sales]]-Table1_1[[#This Row],[Sales]]*Table1_1[[#This Row],[Discount]]</f>
        <v>2492.9660000000003</v>
      </c>
      <c r="K1392" s="1">
        <v>45702</v>
      </c>
      <c r="L1392" s="11">
        <v>45705</v>
      </c>
      <c r="M1392">
        <f>DATEDIF(Table1_1[[#This Row],[Order Date]],Table1_1[[#This Row],[Ship Date]],"D")</f>
        <v>3</v>
      </c>
    </row>
    <row r="1393" spans="1:13" x14ac:dyDescent="0.35">
      <c r="A1393" t="s">
        <v>1807</v>
      </c>
      <c r="B1393" t="s">
        <v>250</v>
      </c>
      <c r="C1393" t="s">
        <v>376</v>
      </c>
      <c r="D1393" s="2">
        <v>1146.4100000000001</v>
      </c>
      <c r="E1393">
        <v>8</v>
      </c>
      <c r="F1393">
        <v>0.1</v>
      </c>
      <c r="G1393" t="s">
        <v>14</v>
      </c>
      <c r="H1393" t="s">
        <v>15</v>
      </c>
      <c r="I1393" t="s">
        <v>20</v>
      </c>
      <c r="J1393" s="2">
        <f>Table1_1[[#This Row],[Sales]]-Table1_1[[#This Row],[Sales]]*Table1_1[[#This Row],[Discount]]</f>
        <v>1031.769</v>
      </c>
      <c r="K1393" s="1">
        <v>45145</v>
      </c>
      <c r="L1393" s="11">
        <v>45151</v>
      </c>
      <c r="M1393">
        <f>DATEDIF(Table1_1[[#This Row],[Order Date]],Table1_1[[#This Row],[Ship Date]],"D")</f>
        <v>6</v>
      </c>
    </row>
    <row r="1394" spans="1:13" x14ac:dyDescent="0.35">
      <c r="A1394" t="s">
        <v>1808</v>
      </c>
      <c r="B1394" t="s">
        <v>447</v>
      </c>
      <c r="C1394" t="s">
        <v>102</v>
      </c>
      <c r="D1394" s="2">
        <v>1929.2</v>
      </c>
      <c r="E1394">
        <v>5</v>
      </c>
      <c r="F1394">
        <v>0.2</v>
      </c>
      <c r="G1394" t="s">
        <v>14</v>
      </c>
      <c r="H1394" t="s">
        <v>15</v>
      </c>
      <c r="I1394" t="s">
        <v>16</v>
      </c>
      <c r="J1394" s="2">
        <f>Table1_1[[#This Row],[Sales]]-Table1_1[[#This Row],[Sales]]*Table1_1[[#This Row],[Discount]]</f>
        <v>1543.3600000000001</v>
      </c>
      <c r="K1394" s="1">
        <v>45709</v>
      </c>
      <c r="L1394" s="11">
        <v>45710</v>
      </c>
      <c r="M1394">
        <f>DATEDIF(Table1_1[[#This Row],[Order Date]],Table1_1[[#This Row],[Ship Date]],"D")</f>
        <v>1</v>
      </c>
    </row>
    <row r="1395" spans="1:13" x14ac:dyDescent="0.35">
      <c r="A1395" t="s">
        <v>1809</v>
      </c>
      <c r="B1395" t="s">
        <v>1089</v>
      </c>
      <c r="C1395" t="s">
        <v>207</v>
      </c>
      <c r="D1395" s="2">
        <v>3684.79</v>
      </c>
      <c r="E1395">
        <v>4</v>
      </c>
      <c r="F1395">
        <v>0.3</v>
      </c>
      <c r="G1395" t="s">
        <v>14</v>
      </c>
      <c r="H1395" t="s">
        <v>21</v>
      </c>
      <c r="I1395" t="s">
        <v>16</v>
      </c>
      <c r="J1395" s="2">
        <f>Table1_1[[#This Row],[Sales]]-Table1_1[[#This Row],[Sales]]*Table1_1[[#This Row],[Discount]]</f>
        <v>2579.3530000000001</v>
      </c>
      <c r="K1395" s="1">
        <v>45713</v>
      </c>
      <c r="L1395" s="11">
        <v>45719</v>
      </c>
      <c r="M1395">
        <f>DATEDIF(Table1_1[[#This Row],[Order Date]],Table1_1[[#This Row],[Ship Date]],"D")</f>
        <v>6</v>
      </c>
    </row>
    <row r="1396" spans="1:13" x14ac:dyDescent="0.35">
      <c r="A1396" t="s">
        <v>1810</v>
      </c>
      <c r="B1396" t="s">
        <v>855</v>
      </c>
      <c r="C1396" t="s">
        <v>542</v>
      </c>
      <c r="D1396" s="2">
        <v>2178.11</v>
      </c>
      <c r="E1396">
        <v>6</v>
      </c>
      <c r="F1396">
        <v>0.2</v>
      </c>
      <c r="G1396" t="s">
        <v>19</v>
      </c>
      <c r="H1396" t="s">
        <v>15</v>
      </c>
      <c r="I1396" t="s">
        <v>43</v>
      </c>
      <c r="J1396" s="2">
        <f>Table1_1[[#This Row],[Sales]]-Table1_1[[#This Row],[Sales]]*Table1_1[[#This Row],[Discount]]</f>
        <v>1742.4880000000001</v>
      </c>
      <c r="K1396" s="1">
        <v>44966</v>
      </c>
      <c r="L1396" s="11">
        <v>44972</v>
      </c>
      <c r="M1396">
        <f>DATEDIF(Table1_1[[#This Row],[Order Date]],Table1_1[[#This Row],[Ship Date]],"D")</f>
        <v>6</v>
      </c>
    </row>
    <row r="1397" spans="1:13" x14ac:dyDescent="0.35">
      <c r="A1397" t="s">
        <v>1811</v>
      </c>
      <c r="B1397" t="s">
        <v>38</v>
      </c>
      <c r="C1397" t="s">
        <v>911</v>
      </c>
      <c r="D1397" s="2">
        <v>4446.42</v>
      </c>
      <c r="E1397">
        <v>1</v>
      </c>
      <c r="F1397">
        <v>0.1</v>
      </c>
      <c r="G1397" t="s">
        <v>14</v>
      </c>
      <c r="H1397" t="s">
        <v>21</v>
      </c>
      <c r="I1397" t="s">
        <v>43</v>
      </c>
      <c r="J1397" s="2">
        <f>Table1_1[[#This Row],[Sales]]-Table1_1[[#This Row],[Sales]]*Table1_1[[#This Row],[Discount]]</f>
        <v>4001.7780000000002</v>
      </c>
      <c r="K1397" s="1">
        <v>45046</v>
      </c>
      <c r="L1397" s="11">
        <v>45051</v>
      </c>
      <c r="M1397">
        <f>DATEDIF(Table1_1[[#This Row],[Order Date]],Table1_1[[#This Row],[Ship Date]],"D")</f>
        <v>5</v>
      </c>
    </row>
    <row r="1398" spans="1:13" x14ac:dyDescent="0.35">
      <c r="A1398" t="s">
        <v>1812</v>
      </c>
      <c r="B1398" t="s">
        <v>894</v>
      </c>
      <c r="C1398" t="s">
        <v>108</v>
      </c>
      <c r="D1398" s="2">
        <v>3587.14</v>
      </c>
      <c r="E1398">
        <v>7</v>
      </c>
      <c r="F1398">
        <v>0</v>
      </c>
      <c r="G1398" t="s">
        <v>14</v>
      </c>
      <c r="H1398" t="s">
        <v>15</v>
      </c>
      <c r="I1398" t="s">
        <v>43</v>
      </c>
      <c r="J1398" s="2">
        <f>Table1_1[[#This Row],[Sales]]-Table1_1[[#This Row],[Sales]]*Table1_1[[#This Row],[Discount]]</f>
        <v>3587.14</v>
      </c>
      <c r="K1398" s="1">
        <v>44933</v>
      </c>
      <c r="L1398" s="11">
        <v>44939</v>
      </c>
      <c r="M1398">
        <f>DATEDIF(Table1_1[[#This Row],[Order Date]],Table1_1[[#This Row],[Ship Date]],"D")</f>
        <v>6</v>
      </c>
    </row>
    <row r="1399" spans="1:13" x14ac:dyDescent="0.35">
      <c r="A1399" t="s">
        <v>1813</v>
      </c>
      <c r="B1399" t="s">
        <v>1115</v>
      </c>
      <c r="C1399" t="s">
        <v>458</v>
      </c>
      <c r="D1399" s="2">
        <v>4769.32</v>
      </c>
      <c r="E1399">
        <v>6</v>
      </c>
      <c r="F1399">
        <v>0.2</v>
      </c>
      <c r="G1399" t="s">
        <v>14</v>
      </c>
      <c r="H1399" t="s">
        <v>21</v>
      </c>
      <c r="I1399" t="s">
        <v>20</v>
      </c>
      <c r="J1399" s="2">
        <f>Table1_1[[#This Row],[Sales]]-Table1_1[[#This Row],[Sales]]*Table1_1[[#This Row],[Discount]]</f>
        <v>3815.4559999999997</v>
      </c>
      <c r="K1399" s="1">
        <v>45122</v>
      </c>
      <c r="L1399" s="11">
        <v>45127</v>
      </c>
      <c r="M1399">
        <f>DATEDIF(Table1_1[[#This Row],[Order Date]],Table1_1[[#This Row],[Ship Date]],"D")</f>
        <v>5</v>
      </c>
    </row>
    <row r="1400" spans="1:13" x14ac:dyDescent="0.35">
      <c r="A1400" t="s">
        <v>1814</v>
      </c>
      <c r="B1400" t="s">
        <v>832</v>
      </c>
      <c r="C1400" t="s">
        <v>450</v>
      </c>
      <c r="D1400" s="2">
        <v>2365.87</v>
      </c>
      <c r="E1400">
        <v>5</v>
      </c>
      <c r="F1400">
        <v>0.1</v>
      </c>
      <c r="G1400" t="s">
        <v>14</v>
      </c>
      <c r="H1400" t="s">
        <v>15</v>
      </c>
      <c r="I1400" t="s">
        <v>20</v>
      </c>
      <c r="J1400" s="2">
        <f>Table1_1[[#This Row],[Sales]]-Table1_1[[#This Row],[Sales]]*Table1_1[[#This Row],[Discount]]</f>
        <v>2129.2829999999999</v>
      </c>
      <c r="K1400" s="1">
        <v>45694</v>
      </c>
      <c r="L1400" s="11">
        <v>45700</v>
      </c>
      <c r="M1400">
        <f>DATEDIF(Table1_1[[#This Row],[Order Date]],Table1_1[[#This Row],[Ship Date]],"D")</f>
        <v>6</v>
      </c>
    </row>
    <row r="1401" spans="1:13" x14ac:dyDescent="0.35">
      <c r="A1401" t="s">
        <v>1815</v>
      </c>
      <c r="B1401" t="s">
        <v>601</v>
      </c>
      <c r="C1401" t="s">
        <v>450</v>
      </c>
      <c r="D1401" s="2">
        <v>511.91</v>
      </c>
      <c r="E1401">
        <v>9</v>
      </c>
      <c r="F1401">
        <v>0.3</v>
      </c>
      <c r="G1401" t="s">
        <v>39</v>
      </c>
      <c r="H1401" t="s">
        <v>15</v>
      </c>
      <c r="I1401" t="s">
        <v>43</v>
      </c>
      <c r="J1401" s="2">
        <f>Table1_1[[#This Row],[Sales]]-Table1_1[[#This Row],[Sales]]*Table1_1[[#This Row],[Discount]]</f>
        <v>358.33699999999999</v>
      </c>
      <c r="K1401" s="1">
        <v>45193</v>
      </c>
      <c r="L1401" s="11">
        <v>45195</v>
      </c>
      <c r="M1401">
        <f>DATEDIF(Table1_1[[#This Row],[Order Date]],Table1_1[[#This Row],[Ship Date]],"D")</f>
        <v>2</v>
      </c>
    </row>
    <row r="1402" spans="1:13" x14ac:dyDescent="0.35">
      <c r="A1402" t="s">
        <v>1816</v>
      </c>
      <c r="B1402" t="s">
        <v>1248</v>
      </c>
      <c r="C1402" t="s">
        <v>458</v>
      </c>
      <c r="D1402" s="2">
        <v>656.43</v>
      </c>
      <c r="E1402">
        <v>6</v>
      </c>
      <c r="F1402">
        <v>0</v>
      </c>
      <c r="G1402" t="s">
        <v>14</v>
      </c>
      <c r="H1402" t="s">
        <v>15</v>
      </c>
      <c r="I1402" t="s">
        <v>43</v>
      </c>
      <c r="J1402" s="2">
        <f>Table1_1[[#This Row],[Sales]]-Table1_1[[#This Row],[Sales]]*Table1_1[[#This Row],[Discount]]</f>
        <v>656.43</v>
      </c>
      <c r="K1402" s="1">
        <v>45390</v>
      </c>
      <c r="L1402" s="11">
        <v>45395</v>
      </c>
      <c r="M1402">
        <f>DATEDIF(Table1_1[[#This Row],[Order Date]],Table1_1[[#This Row],[Ship Date]],"D")</f>
        <v>5</v>
      </c>
    </row>
    <row r="1403" spans="1:13" x14ac:dyDescent="0.35">
      <c r="A1403" t="s">
        <v>1817</v>
      </c>
      <c r="B1403" t="s">
        <v>1460</v>
      </c>
      <c r="C1403" t="s">
        <v>190</v>
      </c>
      <c r="D1403" s="2">
        <v>2472.7399999999998</v>
      </c>
      <c r="E1403">
        <v>10</v>
      </c>
      <c r="F1403">
        <v>0.3</v>
      </c>
      <c r="G1403" t="s">
        <v>14</v>
      </c>
      <c r="H1403" t="s">
        <v>21</v>
      </c>
      <c r="I1403" t="s">
        <v>43</v>
      </c>
      <c r="J1403" s="2">
        <f>Table1_1[[#This Row],[Sales]]-Table1_1[[#This Row],[Sales]]*Table1_1[[#This Row],[Discount]]</f>
        <v>1730.9179999999999</v>
      </c>
      <c r="K1403" s="1">
        <v>44932</v>
      </c>
      <c r="L1403" s="11">
        <v>44934</v>
      </c>
      <c r="M1403">
        <f>DATEDIF(Table1_1[[#This Row],[Order Date]],Table1_1[[#This Row],[Ship Date]],"D")</f>
        <v>2</v>
      </c>
    </row>
    <row r="1404" spans="1:13" x14ac:dyDescent="0.35">
      <c r="A1404" t="s">
        <v>1818</v>
      </c>
      <c r="B1404" t="s">
        <v>544</v>
      </c>
      <c r="C1404" t="s">
        <v>99</v>
      </c>
      <c r="D1404" s="2">
        <v>2384.1799999999998</v>
      </c>
      <c r="E1404">
        <v>7</v>
      </c>
      <c r="F1404">
        <v>0.1</v>
      </c>
      <c r="G1404" t="s">
        <v>14</v>
      </c>
      <c r="H1404" t="s">
        <v>15</v>
      </c>
      <c r="I1404" t="s">
        <v>43</v>
      </c>
      <c r="J1404" s="2">
        <f>Table1_1[[#This Row],[Sales]]-Table1_1[[#This Row],[Sales]]*Table1_1[[#This Row],[Discount]]</f>
        <v>2145.7619999999997</v>
      </c>
      <c r="K1404" s="1">
        <v>45498</v>
      </c>
      <c r="L1404" s="11">
        <v>45499</v>
      </c>
      <c r="M1404">
        <f>DATEDIF(Table1_1[[#This Row],[Order Date]],Table1_1[[#This Row],[Ship Date]],"D")</f>
        <v>1</v>
      </c>
    </row>
    <row r="1405" spans="1:13" x14ac:dyDescent="0.35">
      <c r="A1405" t="s">
        <v>1819</v>
      </c>
      <c r="B1405" t="s">
        <v>483</v>
      </c>
      <c r="C1405" t="s">
        <v>310</v>
      </c>
      <c r="D1405" s="2">
        <v>3944.65</v>
      </c>
      <c r="E1405">
        <v>1</v>
      </c>
      <c r="F1405">
        <v>0.3</v>
      </c>
      <c r="G1405" t="s">
        <v>39</v>
      </c>
      <c r="H1405" t="s">
        <v>21</v>
      </c>
      <c r="I1405" t="s">
        <v>16</v>
      </c>
      <c r="J1405" s="2">
        <f>Table1_1[[#This Row],[Sales]]-Table1_1[[#This Row],[Sales]]*Table1_1[[#This Row],[Discount]]</f>
        <v>2761.2550000000001</v>
      </c>
      <c r="K1405" s="1">
        <v>45440</v>
      </c>
      <c r="L1405" s="11">
        <v>45443</v>
      </c>
      <c r="M1405">
        <f>DATEDIF(Table1_1[[#This Row],[Order Date]],Table1_1[[#This Row],[Ship Date]],"D")</f>
        <v>3</v>
      </c>
    </row>
    <row r="1406" spans="1:13" x14ac:dyDescent="0.35">
      <c r="A1406" t="s">
        <v>1820</v>
      </c>
      <c r="B1406" t="s">
        <v>835</v>
      </c>
      <c r="C1406" t="s">
        <v>223</v>
      </c>
      <c r="D1406" s="2">
        <v>3149.58</v>
      </c>
      <c r="E1406">
        <v>4</v>
      </c>
      <c r="F1406">
        <v>0</v>
      </c>
      <c r="G1406" t="s">
        <v>14</v>
      </c>
      <c r="H1406" t="s">
        <v>21</v>
      </c>
      <c r="I1406" t="s">
        <v>43</v>
      </c>
      <c r="J1406" s="2">
        <f>Table1_1[[#This Row],[Sales]]-Table1_1[[#This Row],[Sales]]*Table1_1[[#This Row],[Discount]]</f>
        <v>3149.58</v>
      </c>
      <c r="K1406" s="1">
        <v>45738</v>
      </c>
      <c r="L1406" s="11">
        <v>45739</v>
      </c>
      <c r="M1406">
        <f>DATEDIF(Table1_1[[#This Row],[Order Date]],Table1_1[[#This Row],[Ship Date]],"D")</f>
        <v>1</v>
      </c>
    </row>
    <row r="1407" spans="1:13" x14ac:dyDescent="0.35">
      <c r="A1407" t="s">
        <v>1821</v>
      </c>
      <c r="B1407" t="s">
        <v>782</v>
      </c>
      <c r="C1407" t="s">
        <v>329</v>
      </c>
      <c r="D1407" s="2">
        <v>1436.08</v>
      </c>
      <c r="E1407">
        <v>7</v>
      </c>
      <c r="F1407">
        <v>0.1</v>
      </c>
      <c r="G1407" t="s">
        <v>14</v>
      </c>
      <c r="H1407" t="s">
        <v>21</v>
      </c>
      <c r="I1407" t="s">
        <v>43</v>
      </c>
      <c r="J1407" s="2">
        <f>Table1_1[[#This Row],[Sales]]-Table1_1[[#This Row],[Sales]]*Table1_1[[#This Row],[Discount]]</f>
        <v>1292.472</v>
      </c>
      <c r="K1407" s="1">
        <v>45479</v>
      </c>
      <c r="L1407" s="11">
        <v>45483</v>
      </c>
      <c r="M1407">
        <f>DATEDIF(Table1_1[[#This Row],[Order Date]],Table1_1[[#This Row],[Ship Date]],"D")</f>
        <v>4</v>
      </c>
    </row>
    <row r="1408" spans="1:13" x14ac:dyDescent="0.35">
      <c r="A1408" t="s">
        <v>1822</v>
      </c>
      <c r="B1408" t="s">
        <v>913</v>
      </c>
      <c r="C1408" t="s">
        <v>175</v>
      </c>
      <c r="D1408" s="2">
        <v>4015.05</v>
      </c>
      <c r="E1408">
        <v>7</v>
      </c>
      <c r="F1408">
        <v>0.2</v>
      </c>
      <c r="G1408" t="s">
        <v>14</v>
      </c>
      <c r="H1408" t="s">
        <v>15</v>
      </c>
      <c r="I1408" t="s">
        <v>16</v>
      </c>
      <c r="J1408" s="2">
        <f>Table1_1[[#This Row],[Sales]]-Table1_1[[#This Row],[Sales]]*Table1_1[[#This Row],[Discount]]</f>
        <v>3212.04</v>
      </c>
      <c r="K1408" s="1">
        <v>45513</v>
      </c>
      <c r="L1408" s="11">
        <v>45516</v>
      </c>
      <c r="M1408">
        <f>DATEDIF(Table1_1[[#This Row],[Order Date]],Table1_1[[#This Row],[Ship Date]],"D")</f>
        <v>3</v>
      </c>
    </row>
    <row r="1409" spans="1:13" x14ac:dyDescent="0.35">
      <c r="A1409" t="s">
        <v>1823</v>
      </c>
      <c r="B1409" t="s">
        <v>248</v>
      </c>
      <c r="C1409" t="s">
        <v>42</v>
      </c>
      <c r="D1409" s="2">
        <v>1325.13</v>
      </c>
      <c r="E1409">
        <v>5</v>
      </c>
      <c r="F1409">
        <v>0.2</v>
      </c>
      <c r="G1409" t="s">
        <v>39</v>
      </c>
      <c r="H1409" t="s">
        <v>21</v>
      </c>
      <c r="I1409" t="s">
        <v>43</v>
      </c>
      <c r="J1409" s="2">
        <f>Table1_1[[#This Row],[Sales]]-Table1_1[[#This Row],[Sales]]*Table1_1[[#This Row],[Discount]]</f>
        <v>1060.104</v>
      </c>
      <c r="K1409" s="1">
        <v>45761</v>
      </c>
      <c r="L1409" s="11">
        <v>45765</v>
      </c>
      <c r="M1409">
        <f>DATEDIF(Table1_1[[#This Row],[Order Date]],Table1_1[[#This Row],[Ship Date]],"D")</f>
        <v>4</v>
      </c>
    </row>
    <row r="1410" spans="1:13" x14ac:dyDescent="0.35">
      <c r="A1410" t="s">
        <v>1824</v>
      </c>
      <c r="B1410" t="s">
        <v>702</v>
      </c>
      <c r="C1410" t="s">
        <v>180</v>
      </c>
      <c r="D1410" s="2">
        <v>778.02</v>
      </c>
      <c r="E1410">
        <v>3</v>
      </c>
      <c r="F1410">
        <v>0.1</v>
      </c>
      <c r="G1410" t="s">
        <v>14</v>
      </c>
      <c r="H1410" t="s">
        <v>21</v>
      </c>
      <c r="I1410" t="s">
        <v>20</v>
      </c>
      <c r="J1410" s="2">
        <f>Table1_1[[#This Row],[Sales]]-Table1_1[[#This Row],[Sales]]*Table1_1[[#This Row],[Discount]]</f>
        <v>700.21799999999996</v>
      </c>
      <c r="K1410" s="1">
        <v>45130</v>
      </c>
      <c r="L1410" s="11">
        <v>45132</v>
      </c>
      <c r="M1410">
        <f>DATEDIF(Table1_1[[#This Row],[Order Date]],Table1_1[[#This Row],[Ship Date]],"D")</f>
        <v>2</v>
      </c>
    </row>
    <row r="1411" spans="1:13" x14ac:dyDescent="0.35">
      <c r="A1411" t="s">
        <v>1825</v>
      </c>
      <c r="B1411" t="s">
        <v>1307</v>
      </c>
      <c r="C1411" t="s">
        <v>68</v>
      </c>
      <c r="D1411" s="2">
        <v>4391.9799999999996</v>
      </c>
      <c r="E1411">
        <v>9</v>
      </c>
      <c r="F1411">
        <v>0.1</v>
      </c>
      <c r="G1411" t="s">
        <v>14</v>
      </c>
      <c r="H1411" t="s">
        <v>15</v>
      </c>
      <c r="I1411" t="s">
        <v>20</v>
      </c>
      <c r="J1411" s="2">
        <f>Table1_1[[#This Row],[Sales]]-Table1_1[[#This Row],[Sales]]*Table1_1[[#This Row],[Discount]]</f>
        <v>3952.7819999999997</v>
      </c>
      <c r="K1411" s="1">
        <v>45202</v>
      </c>
      <c r="L1411" s="11">
        <v>45206</v>
      </c>
      <c r="M1411">
        <f>DATEDIF(Table1_1[[#This Row],[Order Date]],Table1_1[[#This Row],[Ship Date]],"D")</f>
        <v>4</v>
      </c>
    </row>
    <row r="1412" spans="1:13" x14ac:dyDescent="0.35">
      <c r="A1412" t="s">
        <v>1826</v>
      </c>
      <c r="B1412" t="s">
        <v>445</v>
      </c>
      <c r="C1412" t="s">
        <v>94</v>
      </c>
      <c r="D1412" s="2">
        <v>1257.8599999999999</v>
      </c>
      <c r="E1412">
        <v>7</v>
      </c>
      <c r="F1412">
        <v>0.1</v>
      </c>
      <c r="G1412" t="s">
        <v>14</v>
      </c>
      <c r="H1412" t="s">
        <v>15</v>
      </c>
      <c r="I1412" t="s">
        <v>16</v>
      </c>
      <c r="J1412" s="2">
        <f>Table1_1[[#This Row],[Sales]]-Table1_1[[#This Row],[Sales]]*Table1_1[[#This Row],[Discount]]</f>
        <v>1132.0739999999998</v>
      </c>
      <c r="K1412" s="1">
        <v>45697</v>
      </c>
      <c r="L1412" s="11">
        <v>45699</v>
      </c>
      <c r="M1412">
        <f>DATEDIF(Table1_1[[#This Row],[Order Date]],Table1_1[[#This Row],[Ship Date]],"D")</f>
        <v>2</v>
      </c>
    </row>
    <row r="1413" spans="1:13" x14ac:dyDescent="0.35">
      <c r="A1413" t="s">
        <v>1827</v>
      </c>
      <c r="B1413" t="s">
        <v>702</v>
      </c>
      <c r="C1413" t="s">
        <v>1012</v>
      </c>
      <c r="D1413" s="2">
        <v>4145.2</v>
      </c>
      <c r="E1413">
        <v>4</v>
      </c>
      <c r="F1413">
        <v>0.1</v>
      </c>
      <c r="G1413" t="s">
        <v>39</v>
      </c>
      <c r="H1413" t="s">
        <v>15</v>
      </c>
      <c r="I1413" t="s">
        <v>16</v>
      </c>
      <c r="J1413" s="2">
        <f>Table1_1[[#This Row],[Sales]]-Table1_1[[#This Row],[Sales]]*Table1_1[[#This Row],[Discount]]</f>
        <v>3730.68</v>
      </c>
      <c r="K1413" s="1">
        <v>45661</v>
      </c>
      <c r="L1413" s="11">
        <v>45664</v>
      </c>
      <c r="M1413">
        <f>DATEDIF(Table1_1[[#This Row],[Order Date]],Table1_1[[#This Row],[Ship Date]],"D")</f>
        <v>3</v>
      </c>
    </row>
    <row r="1414" spans="1:13" x14ac:dyDescent="0.35">
      <c r="A1414" t="s">
        <v>1828</v>
      </c>
      <c r="B1414" t="s">
        <v>1829</v>
      </c>
      <c r="C1414" t="s">
        <v>696</v>
      </c>
      <c r="D1414" s="2">
        <v>204.57</v>
      </c>
      <c r="E1414">
        <v>9</v>
      </c>
      <c r="F1414">
        <v>0</v>
      </c>
      <c r="G1414" t="s">
        <v>39</v>
      </c>
      <c r="H1414" t="s">
        <v>21</v>
      </c>
      <c r="I1414" t="s">
        <v>20</v>
      </c>
      <c r="J1414" s="2">
        <f>Table1_1[[#This Row],[Sales]]-Table1_1[[#This Row],[Sales]]*Table1_1[[#This Row],[Discount]]</f>
        <v>204.57</v>
      </c>
      <c r="K1414" s="1">
        <v>45641</v>
      </c>
      <c r="L1414" s="11">
        <v>45644</v>
      </c>
      <c r="M1414">
        <f>DATEDIF(Table1_1[[#This Row],[Order Date]],Table1_1[[#This Row],[Ship Date]],"D")</f>
        <v>3</v>
      </c>
    </row>
    <row r="1415" spans="1:13" x14ac:dyDescent="0.35">
      <c r="A1415" t="s">
        <v>1830</v>
      </c>
      <c r="B1415" t="s">
        <v>679</v>
      </c>
      <c r="C1415" t="s">
        <v>26</v>
      </c>
      <c r="D1415" s="2">
        <v>4792.8900000000003</v>
      </c>
      <c r="E1415">
        <v>1</v>
      </c>
      <c r="F1415">
        <v>0.2</v>
      </c>
      <c r="G1415" t="s">
        <v>14</v>
      </c>
      <c r="H1415" t="s">
        <v>21</v>
      </c>
      <c r="I1415" t="s">
        <v>16</v>
      </c>
      <c r="J1415" s="2">
        <f>Table1_1[[#This Row],[Sales]]-Table1_1[[#This Row],[Sales]]*Table1_1[[#This Row],[Discount]]</f>
        <v>3834.3120000000004</v>
      </c>
      <c r="K1415" s="1">
        <v>45039</v>
      </c>
      <c r="L1415" s="11">
        <v>45046</v>
      </c>
      <c r="M1415">
        <f>DATEDIF(Table1_1[[#This Row],[Order Date]],Table1_1[[#This Row],[Ship Date]],"D")</f>
        <v>7</v>
      </c>
    </row>
    <row r="1416" spans="1:13" x14ac:dyDescent="0.35">
      <c r="A1416" t="s">
        <v>1831</v>
      </c>
      <c r="B1416" t="s">
        <v>206</v>
      </c>
      <c r="C1416" t="s">
        <v>125</v>
      </c>
      <c r="D1416" s="2">
        <v>1434.95</v>
      </c>
      <c r="E1416">
        <v>6</v>
      </c>
      <c r="F1416">
        <v>0</v>
      </c>
      <c r="G1416" t="s">
        <v>14</v>
      </c>
      <c r="H1416" t="s">
        <v>15</v>
      </c>
      <c r="I1416" t="s">
        <v>43</v>
      </c>
      <c r="J1416" s="2">
        <f>Table1_1[[#This Row],[Sales]]-Table1_1[[#This Row],[Sales]]*Table1_1[[#This Row],[Discount]]</f>
        <v>1434.95</v>
      </c>
      <c r="K1416" s="1">
        <v>45502</v>
      </c>
      <c r="L1416" s="11">
        <v>45504</v>
      </c>
      <c r="M1416">
        <f>DATEDIF(Table1_1[[#This Row],[Order Date]],Table1_1[[#This Row],[Ship Date]],"D")</f>
        <v>2</v>
      </c>
    </row>
    <row r="1417" spans="1:13" x14ac:dyDescent="0.35">
      <c r="A1417" t="s">
        <v>1832</v>
      </c>
      <c r="B1417" t="s">
        <v>474</v>
      </c>
      <c r="C1417" t="s">
        <v>211</v>
      </c>
      <c r="D1417" s="2">
        <v>1756.71</v>
      </c>
      <c r="E1417">
        <v>8</v>
      </c>
      <c r="F1417">
        <v>0.1</v>
      </c>
      <c r="G1417" t="s">
        <v>14</v>
      </c>
      <c r="H1417" t="s">
        <v>15</v>
      </c>
      <c r="I1417" t="s">
        <v>16</v>
      </c>
      <c r="J1417" s="2">
        <f>Table1_1[[#This Row],[Sales]]-Table1_1[[#This Row],[Sales]]*Table1_1[[#This Row],[Discount]]</f>
        <v>1581.039</v>
      </c>
      <c r="K1417" s="1">
        <v>45708</v>
      </c>
      <c r="L1417" s="11">
        <v>45709</v>
      </c>
      <c r="M1417">
        <f>DATEDIF(Table1_1[[#This Row],[Order Date]],Table1_1[[#This Row],[Ship Date]],"D")</f>
        <v>1</v>
      </c>
    </row>
    <row r="1418" spans="1:13" x14ac:dyDescent="0.35">
      <c r="A1418" t="s">
        <v>1833</v>
      </c>
      <c r="B1418" t="s">
        <v>76</v>
      </c>
      <c r="C1418" t="s">
        <v>318</v>
      </c>
      <c r="D1418" s="2">
        <v>1049.29</v>
      </c>
      <c r="E1418">
        <v>6</v>
      </c>
      <c r="F1418">
        <v>0.3</v>
      </c>
      <c r="G1418" t="s">
        <v>19</v>
      </c>
      <c r="H1418" t="s">
        <v>15</v>
      </c>
      <c r="I1418" t="s">
        <v>20</v>
      </c>
      <c r="J1418" s="2">
        <f>Table1_1[[#This Row],[Sales]]-Table1_1[[#This Row],[Sales]]*Table1_1[[#This Row],[Discount]]</f>
        <v>734.50299999999993</v>
      </c>
      <c r="K1418" s="1">
        <v>45700</v>
      </c>
      <c r="L1418" s="11">
        <v>45703</v>
      </c>
      <c r="M1418">
        <f>DATEDIF(Table1_1[[#This Row],[Order Date]],Table1_1[[#This Row],[Ship Date]],"D")</f>
        <v>3</v>
      </c>
    </row>
    <row r="1419" spans="1:13" x14ac:dyDescent="0.35">
      <c r="A1419" t="s">
        <v>1834</v>
      </c>
      <c r="B1419" t="s">
        <v>184</v>
      </c>
      <c r="C1419" t="s">
        <v>281</v>
      </c>
      <c r="D1419" s="2">
        <v>4863.7</v>
      </c>
      <c r="E1419">
        <v>8</v>
      </c>
      <c r="F1419">
        <v>0</v>
      </c>
      <c r="G1419" t="s">
        <v>14</v>
      </c>
      <c r="H1419" t="s">
        <v>15</v>
      </c>
      <c r="I1419" t="s">
        <v>43</v>
      </c>
      <c r="J1419" s="2">
        <f>Table1_1[[#This Row],[Sales]]-Table1_1[[#This Row],[Sales]]*Table1_1[[#This Row],[Discount]]</f>
        <v>4863.7</v>
      </c>
      <c r="K1419" s="1">
        <v>45394</v>
      </c>
      <c r="L1419" s="11">
        <v>45395</v>
      </c>
      <c r="M1419">
        <f>DATEDIF(Table1_1[[#This Row],[Order Date]],Table1_1[[#This Row],[Ship Date]],"D")</f>
        <v>1</v>
      </c>
    </row>
    <row r="1420" spans="1:13" x14ac:dyDescent="0.35">
      <c r="A1420" t="s">
        <v>1835</v>
      </c>
      <c r="B1420" t="s">
        <v>107</v>
      </c>
      <c r="C1420" t="s">
        <v>46</v>
      </c>
      <c r="D1420" s="2">
        <v>3995.85</v>
      </c>
      <c r="E1420">
        <v>1</v>
      </c>
      <c r="F1420">
        <v>0.1</v>
      </c>
      <c r="G1420" t="s">
        <v>19</v>
      </c>
      <c r="H1420" t="s">
        <v>15</v>
      </c>
      <c r="I1420" t="s">
        <v>20</v>
      </c>
      <c r="J1420" s="2">
        <f>Table1_1[[#This Row],[Sales]]-Table1_1[[#This Row],[Sales]]*Table1_1[[#This Row],[Discount]]</f>
        <v>3596.2649999999999</v>
      </c>
      <c r="K1420" s="1">
        <v>45494</v>
      </c>
      <c r="L1420" s="11">
        <v>45497</v>
      </c>
      <c r="M1420">
        <f>DATEDIF(Table1_1[[#This Row],[Order Date]],Table1_1[[#This Row],[Ship Date]],"D")</f>
        <v>3</v>
      </c>
    </row>
    <row r="1421" spans="1:13" x14ac:dyDescent="0.35">
      <c r="A1421" t="s">
        <v>1836</v>
      </c>
      <c r="B1421" t="s">
        <v>469</v>
      </c>
      <c r="C1421" t="s">
        <v>278</v>
      </c>
      <c r="D1421" s="2">
        <v>3462.53</v>
      </c>
      <c r="E1421">
        <v>1</v>
      </c>
      <c r="F1421">
        <v>0.1</v>
      </c>
      <c r="G1421" t="s">
        <v>19</v>
      </c>
      <c r="H1421" t="s">
        <v>15</v>
      </c>
      <c r="I1421" t="s">
        <v>43</v>
      </c>
      <c r="J1421" s="2">
        <f>Table1_1[[#This Row],[Sales]]-Table1_1[[#This Row],[Sales]]*Table1_1[[#This Row],[Discount]]</f>
        <v>3116.277</v>
      </c>
      <c r="K1421" s="1">
        <v>45139</v>
      </c>
      <c r="L1421" s="11">
        <v>45144</v>
      </c>
      <c r="M1421">
        <f>DATEDIF(Table1_1[[#This Row],[Order Date]],Table1_1[[#This Row],[Ship Date]],"D")</f>
        <v>5</v>
      </c>
    </row>
    <row r="1422" spans="1:13" x14ac:dyDescent="0.35">
      <c r="A1422" t="s">
        <v>1837</v>
      </c>
      <c r="B1422" t="s">
        <v>770</v>
      </c>
      <c r="C1422" t="s">
        <v>160</v>
      </c>
      <c r="D1422" s="2">
        <v>1063.95</v>
      </c>
      <c r="E1422">
        <v>2</v>
      </c>
      <c r="F1422">
        <v>0</v>
      </c>
      <c r="G1422" t="s">
        <v>14</v>
      </c>
      <c r="H1422" t="s">
        <v>21</v>
      </c>
      <c r="I1422" t="s">
        <v>43</v>
      </c>
      <c r="J1422" s="2">
        <f>Table1_1[[#This Row],[Sales]]-Table1_1[[#This Row],[Sales]]*Table1_1[[#This Row],[Discount]]</f>
        <v>1063.95</v>
      </c>
      <c r="K1422" s="1">
        <v>45209</v>
      </c>
      <c r="L1422" s="11">
        <v>45216</v>
      </c>
      <c r="M1422">
        <f>DATEDIF(Table1_1[[#This Row],[Order Date]],Table1_1[[#This Row],[Ship Date]],"D")</f>
        <v>7</v>
      </c>
    </row>
    <row r="1423" spans="1:13" x14ac:dyDescent="0.35">
      <c r="A1423" t="s">
        <v>1838</v>
      </c>
      <c r="B1423" t="s">
        <v>1066</v>
      </c>
      <c r="C1423" t="s">
        <v>310</v>
      </c>
      <c r="D1423" s="2">
        <v>4674.78</v>
      </c>
      <c r="E1423">
        <v>3</v>
      </c>
      <c r="F1423">
        <v>0.3</v>
      </c>
      <c r="G1423" t="s">
        <v>39</v>
      </c>
      <c r="H1423" t="s">
        <v>15</v>
      </c>
      <c r="I1423" t="s">
        <v>43</v>
      </c>
      <c r="J1423" s="2">
        <f>Table1_1[[#This Row],[Sales]]-Table1_1[[#This Row],[Sales]]*Table1_1[[#This Row],[Discount]]</f>
        <v>3272.3459999999995</v>
      </c>
      <c r="K1423" s="1">
        <v>45326</v>
      </c>
      <c r="L1423" s="11">
        <v>45330</v>
      </c>
      <c r="M1423">
        <f>DATEDIF(Table1_1[[#This Row],[Order Date]],Table1_1[[#This Row],[Ship Date]],"D")</f>
        <v>4</v>
      </c>
    </row>
    <row r="1424" spans="1:13" x14ac:dyDescent="0.35">
      <c r="A1424" t="s">
        <v>1839</v>
      </c>
      <c r="B1424" t="s">
        <v>264</v>
      </c>
      <c r="C1424" t="s">
        <v>357</v>
      </c>
      <c r="D1424" s="2">
        <v>3075.57</v>
      </c>
      <c r="E1424">
        <v>5</v>
      </c>
      <c r="F1424">
        <v>0.1</v>
      </c>
      <c r="G1424" t="s">
        <v>14</v>
      </c>
      <c r="H1424" t="s">
        <v>15</v>
      </c>
      <c r="I1424" t="s">
        <v>20</v>
      </c>
      <c r="J1424" s="2">
        <f>Table1_1[[#This Row],[Sales]]-Table1_1[[#This Row],[Sales]]*Table1_1[[#This Row],[Discount]]</f>
        <v>2768.0129999999999</v>
      </c>
      <c r="K1424" s="1">
        <v>45620</v>
      </c>
      <c r="L1424" s="11">
        <v>45624</v>
      </c>
      <c r="M1424">
        <f>DATEDIF(Table1_1[[#This Row],[Order Date]],Table1_1[[#This Row],[Ship Date]],"D")</f>
        <v>4</v>
      </c>
    </row>
    <row r="1425" spans="1:13" x14ac:dyDescent="0.35">
      <c r="A1425" t="s">
        <v>1840</v>
      </c>
      <c r="B1425" t="s">
        <v>508</v>
      </c>
      <c r="C1425" t="s">
        <v>125</v>
      </c>
      <c r="D1425" s="2">
        <v>3739.37</v>
      </c>
      <c r="E1425">
        <v>9</v>
      </c>
      <c r="F1425">
        <v>0.2</v>
      </c>
      <c r="G1425" t="s">
        <v>14</v>
      </c>
      <c r="H1425" t="s">
        <v>15</v>
      </c>
      <c r="I1425" t="s">
        <v>20</v>
      </c>
      <c r="J1425" s="2">
        <f>Table1_1[[#This Row],[Sales]]-Table1_1[[#This Row],[Sales]]*Table1_1[[#This Row],[Discount]]</f>
        <v>2991.4960000000001</v>
      </c>
      <c r="K1425" s="1">
        <v>45374</v>
      </c>
      <c r="L1425" s="11">
        <v>45380</v>
      </c>
      <c r="M1425">
        <f>DATEDIF(Table1_1[[#This Row],[Order Date]],Table1_1[[#This Row],[Ship Date]],"D")</f>
        <v>6</v>
      </c>
    </row>
    <row r="1426" spans="1:13" x14ac:dyDescent="0.35">
      <c r="A1426" t="s">
        <v>1841</v>
      </c>
      <c r="B1426" t="s">
        <v>171</v>
      </c>
      <c r="C1426" t="s">
        <v>237</v>
      </c>
      <c r="D1426" s="2">
        <v>1400.46</v>
      </c>
      <c r="E1426">
        <v>2</v>
      </c>
      <c r="F1426">
        <v>0.3</v>
      </c>
      <c r="G1426" t="s">
        <v>14</v>
      </c>
      <c r="H1426" t="s">
        <v>15</v>
      </c>
      <c r="I1426" t="s">
        <v>43</v>
      </c>
      <c r="J1426" s="2">
        <f>Table1_1[[#This Row],[Sales]]-Table1_1[[#This Row],[Sales]]*Table1_1[[#This Row],[Discount]]</f>
        <v>980.32200000000012</v>
      </c>
      <c r="K1426" s="1">
        <v>45091</v>
      </c>
      <c r="L1426" s="11">
        <v>45095</v>
      </c>
      <c r="M1426">
        <f>DATEDIF(Table1_1[[#This Row],[Order Date]],Table1_1[[#This Row],[Ship Date]],"D")</f>
        <v>4</v>
      </c>
    </row>
    <row r="1427" spans="1:13" x14ac:dyDescent="0.35">
      <c r="A1427" t="s">
        <v>1842</v>
      </c>
      <c r="B1427" t="s">
        <v>171</v>
      </c>
      <c r="C1427" t="s">
        <v>1012</v>
      </c>
      <c r="D1427" s="2">
        <v>1169.47</v>
      </c>
      <c r="E1427">
        <v>3</v>
      </c>
      <c r="F1427">
        <v>0.2</v>
      </c>
      <c r="G1427" t="s">
        <v>14</v>
      </c>
      <c r="H1427" t="s">
        <v>15</v>
      </c>
      <c r="I1427" t="s">
        <v>16</v>
      </c>
      <c r="J1427" s="2">
        <f>Table1_1[[#This Row],[Sales]]-Table1_1[[#This Row],[Sales]]*Table1_1[[#This Row],[Discount]]</f>
        <v>935.57600000000002</v>
      </c>
      <c r="K1427" s="1">
        <v>45425</v>
      </c>
      <c r="L1427" s="11">
        <v>45431</v>
      </c>
      <c r="M1427">
        <f>DATEDIF(Table1_1[[#This Row],[Order Date]],Table1_1[[#This Row],[Ship Date]],"D")</f>
        <v>6</v>
      </c>
    </row>
    <row r="1428" spans="1:13" x14ac:dyDescent="0.35">
      <c r="A1428" t="s">
        <v>1843</v>
      </c>
      <c r="B1428" t="s">
        <v>127</v>
      </c>
      <c r="C1428" t="s">
        <v>265</v>
      </c>
      <c r="D1428" s="2">
        <v>1660.78</v>
      </c>
      <c r="E1428">
        <v>10</v>
      </c>
      <c r="F1428">
        <v>0</v>
      </c>
      <c r="G1428" t="s">
        <v>14</v>
      </c>
      <c r="H1428" t="s">
        <v>15</v>
      </c>
      <c r="I1428" t="s">
        <v>43</v>
      </c>
      <c r="J1428" s="2">
        <f>Table1_1[[#This Row],[Sales]]-Table1_1[[#This Row],[Sales]]*Table1_1[[#This Row],[Discount]]</f>
        <v>1660.78</v>
      </c>
      <c r="K1428" s="1">
        <v>45233</v>
      </c>
      <c r="L1428" s="11">
        <v>45235</v>
      </c>
      <c r="M1428">
        <f>DATEDIF(Table1_1[[#This Row],[Order Date]],Table1_1[[#This Row],[Ship Date]],"D")</f>
        <v>2</v>
      </c>
    </row>
    <row r="1429" spans="1:13" x14ac:dyDescent="0.35">
      <c r="A1429" t="s">
        <v>1844</v>
      </c>
      <c r="B1429" t="s">
        <v>618</v>
      </c>
      <c r="C1429" t="s">
        <v>696</v>
      </c>
      <c r="D1429" s="2">
        <v>2653.22</v>
      </c>
      <c r="E1429">
        <v>5</v>
      </c>
      <c r="F1429">
        <v>0.2</v>
      </c>
      <c r="G1429" t="s">
        <v>19</v>
      </c>
      <c r="H1429" t="s">
        <v>21</v>
      </c>
      <c r="I1429" t="s">
        <v>16</v>
      </c>
      <c r="J1429" s="2">
        <f>Table1_1[[#This Row],[Sales]]-Table1_1[[#This Row],[Sales]]*Table1_1[[#This Row],[Discount]]</f>
        <v>2122.576</v>
      </c>
      <c r="K1429" s="1">
        <v>45153</v>
      </c>
      <c r="L1429" s="11">
        <v>45160</v>
      </c>
      <c r="M1429">
        <f>DATEDIF(Table1_1[[#This Row],[Order Date]],Table1_1[[#This Row],[Ship Date]],"D")</f>
        <v>7</v>
      </c>
    </row>
    <row r="1430" spans="1:13" x14ac:dyDescent="0.35">
      <c r="A1430" t="s">
        <v>1845</v>
      </c>
      <c r="B1430" t="s">
        <v>646</v>
      </c>
      <c r="C1430" t="s">
        <v>259</v>
      </c>
      <c r="D1430" s="2">
        <v>2513.13</v>
      </c>
      <c r="E1430">
        <v>3</v>
      </c>
      <c r="F1430">
        <v>0.2</v>
      </c>
      <c r="G1430" t="s">
        <v>39</v>
      </c>
      <c r="H1430" t="s">
        <v>15</v>
      </c>
      <c r="I1430" t="s">
        <v>20</v>
      </c>
      <c r="J1430" s="2">
        <f>Table1_1[[#This Row],[Sales]]-Table1_1[[#This Row],[Sales]]*Table1_1[[#This Row],[Discount]]</f>
        <v>2010.5040000000001</v>
      </c>
      <c r="K1430" s="1">
        <v>45024</v>
      </c>
      <c r="L1430" s="11">
        <v>45028</v>
      </c>
      <c r="M1430">
        <f>DATEDIF(Table1_1[[#This Row],[Order Date]],Table1_1[[#This Row],[Ship Date]],"D")</f>
        <v>4</v>
      </c>
    </row>
    <row r="1431" spans="1:13" x14ac:dyDescent="0.35">
      <c r="A1431" t="s">
        <v>1846</v>
      </c>
      <c r="B1431" t="s">
        <v>568</v>
      </c>
      <c r="C1431" t="s">
        <v>281</v>
      </c>
      <c r="D1431" s="2">
        <v>2085.1</v>
      </c>
      <c r="E1431">
        <v>10</v>
      </c>
      <c r="F1431">
        <v>0.3</v>
      </c>
      <c r="G1431" t="s">
        <v>19</v>
      </c>
      <c r="H1431" t="s">
        <v>21</v>
      </c>
      <c r="I1431" t="s">
        <v>16</v>
      </c>
      <c r="J1431" s="2">
        <f>Table1_1[[#This Row],[Sales]]-Table1_1[[#This Row],[Sales]]*Table1_1[[#This Row],[Discount]]</f>
        <v>1459.57</v>
      </c>
      <c r="K1431" s="1">
        <v>45070</v>
      </c>
      <c r="L1431" s="11">
        <v>45071</v>
      </c>
      <c r="M1431">
        <f>DATEDIF(Table1_1[[#This Row],[Order Date]],Table1_1[[#This Row],[Ship Date]],"D")</f>
        <v>1</v>
      </c>
    </row>
    <row r="1432" spans="1:13" x14ac:dyDescent="0.35">
      <c r="A1432" t="s">
        <v>1847</v>
      </c>
      <c r="B1432" t="s">
        <v>275</v>
      </c>
      <c r="C1432" t="s">
        <v>357</v>
      </c>
      <c r="D1432" s="2">
        <v>893.15</v>
      </c>
      <c r="E1432">
        <v>4</v>
      </c>
      <c r="F1432">
        <v>0.3</v>
      </c>
      <c r="G1432" t="s">
        <v>14</v>
      </c>
      <c r="H1432" t="s">
        <v>21</v>
      </c>
      <c r="I1432" t="s">
        <v>16</v>
      </c>
      <c r="J1432" s="2">
        <f>Table1_1[[#This Row],[Sales]]-Table1_1[[#This Row],[Sales]]*Table1_1[[#This Row],[Discount]]</f>
        <v>625.20499999999993</v>
      </c>
      <c r="K1432" s="1">
        <v>45770</v>
      </c>
      <c r="L1432" s="11">
        <v>45775</v>
      </c>
      <c r="M1432">
        <f>DATEDIF(Table1_1[[#This Row],[Order Date]],Table1_1[[#This Row],[Ship Date]],"D")</f>
        <v>5</v>
      </c>
    </row>
    <row r="1433" spans="1:13" x14ac:dyDescent="0.35">
      <c r="A1433" t="s">
        <v>1848</v>
      </c>
      <c r="B1433" t="s">
        <v>45</v>
      </c>
      <c r="C1433" t="s">
        <v>911</v>
      </c>
      <c r="D1433" s="2">
        <v>570.91</v>
      </c>
      <c r="E1433">
        <v>5</v>
      </c>
      <c r="F1433">
        <v>0.3</v>
      </c>
      <c r="G1433" t="s">
        <v>39</v>
      </c>
      <c r="H1433" t="s">
        <v>15</v>
      </c>
      <c r="I1433" t="s">
        <v>43</v>
      </c>
      <c r="J1433" s="2">
        <f>Table1_1[[#This Row],[Sales]]-Table1_1[[#This Row],[Sales]]*Table1_1[[#This Row],[Discount]]</f>
        <v>399.63699999999994</v>
      </c>
      <c r="K1433" s="1">
        <v>45419</v>
      </c>
      <c r="L1433" s="11">
        <v>45422</v>
      </c>
      <c r="M1433">
        <f>DATEDIF(Table1_1[[#This Row],[Order Date]],Table1_1[[#This Row],[Ship Date]],"D")</f>
        <v>3</v>
      </c>
    </row>
    <row r="1434" spans="1:13" x14ac:dyDescent="0.35">
      <c r="A1434" t="s">
        <v>1849</v>
      </c>
      <c r="B1434" t="s">
        <v>548</v>
      </c>
      <c r="C1434" t="s">
        <v>1012</v>
      </c>
      <c r="D1434" s="2">
        <v>1937.5250000000001</v>
      </c>
      <c r="E1434">
        <v>10</v>
      </c>
      <c r="F1434">
        <v>0.3</v>
      </c>
      <c r="G1434" t="s">
        <v>39</v>
      </c>
      <c r="H1434" t="s">
        <v>21</v>
      </c>
      <c r="I1434" t="s">
        <v>20</v>
      </c>
      <c r="J1434" s="2">
        <f>Table1_1[[#This Row],[Sales]]-Table1_1[[#This Row],[Sales]]*Table1_1[[#This Row],[Discount]]</f>
        <v>1356.2674999999999</v>
      </c>
      <c r="K1434" s="1">
        <v>45413</v>
      </c>
      <c r="L1434" s="11">
        <v>45414</v>
      </c>
      <c r="M1434">
        <f>DATEDIF(Table1_1[[#This Row],[Order Date]],Table1_1[[#This Row],[Ship Date]],"D")</f>
        <v>1</v>
      </c>
    </row>
    <row r="1435" spans="1:13" x14ac:dyDescent="0.35">
      <c r="A1435" t="s">
        <v>1850</v>
      </c>
      <c r="B1435" t="s">
        <v>290</v>
      </c>
      <c r="C1435" t="s">
        <v>291</v>
      </c>
      <c r="D1435" s="2">
        <v>4585.2700000000004</v>
      </c>
      <c r="E1435">
        <v>9</v>
      </c>
      <c r="F1435">
        <v>0.3</v>
      </c>
      <c r="G1435" t="s">
        <v>39</v>
      </c>
      <c r="H1435" t="s">
        <v>21</v>
      </c>
      <c r="I1435" t="s">
        <v>43</v>
      </c>
      <c r="J1435" s="2">
        <f>Table1_1[[#This Row],[Sales]]-Table1_1[[#This Row],[Sales]]*Table1_1[[#This Row],[Discount]]</f>
        <v>3209.6890000000003</v>
      </c>
      <c r="K1435" s="1">
        <v>45823</v>
      </c>
      <c r="L1435" s="11">
        <v>45825</v>
      </c>
      <c r="M1435">
        <f>DATEDIF(Table1_1[[#This Row],[Order Date]],Table1_1[[#This Row],[Ship Date]],"D")</f>
        <v>2</v>
      </c>
    </row>
    <row r="1436" spans="1:13" x14ac:dyDescent="0.35">
      <c r="A1436" t="s">
        <v>1851</v>
      </c>
      <c r="B1436" t="s">
        <v>894</v>
      </c>
      <c r="C1436" t="s">
        <v>223</v>
      </c>
      <c r="D1436" s="2">
        <v>1280.23</v>
      </c>
      <c r="E1436">
        <v>5</v>
      </c>
      <c r="F1436">
        <v>0.2</v>
      </c>
      <c r="G1436" t="s">
        <v>14</v>
      </c>
      <c r="H1436" t="s">
        <v>15</v>
      </c>
      <c r="I1436" t="s">
        <v>43</v>
      </c>
      <c r="J1436" s="2">
        <f>Table1_1[[#This Row],[Sales]]-Table1_1[[#This Row],[Sales]]*Table1_1[[#This Row],[Discount]]</f>
        <v>1024.184</v>
      </c>
      <c r="K1436" s="1">
        <v>45688</v>
      </c>
      <c r="L1436" s="11">
        <v>45690</v>
      </c>
      <c r="M1436">
        <f>DATEDIF(Table1_1[[#This Row],[Order Date]],Table1_1[[#This Row],[Ship Date]],"D")</f>
        <v>2</v>
      </c>
    </row>
    <row r="1437" spans="1:13" x14ac:dyDescent="0.35">
      <c r="A1437" t="s">
        <v>1852</v>
      </c>
      <c r="B1437" t="s">
        <v>817</v>
      </c>
      <c r="C1437" t="s">
        <v>190</v>
      </c>
      <c r="D1437" s="2">
        <v>2276.92</v>
      </c>
      <c r="E1437">
        <v>2</v>
      </c>
      <c r="F1437">
        <v>0.1</v>
      </c>
      <c r="G1437" t="s">
        <v>39</v>
      </c>
      <c r="H1437" t="s">
        <v>15</v>
      </c>
      <c r="I1437" t="s">
        <v>16</v>
      </c>
      <c r="J1437" s="2">
        <f>Table1_1[[#This Row],[Sales]]-Table1_1[[#This Row],[Sales]]*Table1_1[[#This Row],[Discount]]</f>
        <v>2049.2280000000001</v>
      </c>
      <c r="K1437" s="1">
        <v>45341</v>
      </c>
      <c r="L1437" s="11">
        <v>45345</v>
      </c>
      <c r="M1437">
        <f>DATEDIF(Table1_1[[#This Row],[Order Date]],Table1_1[[#This Row],[Ship Date]],"D")</f>
        <v>4</v>
      </c>
    </row>
    <row r="1438" spans="1:13" x14ac:dyDescent="0.35">
      <c r="A1438" t="s">
        <v>1853</v>
      </c>
      <c r="B1438" t="s">
        <v>1624</v>
      </c>
      <c r="C1438" t="s">
        <v>157</v>
      </c>
      <c r="D1438" s="2">
        <v>3488.53</v>
      </c>
      <c r="E1438">
        <v>9</v>
      </c>
      <c r="F1438">
        <v>0.2</v>
      </c>
      <c r="G1438" t="s">
        <v>39</v>
      </c>
      <c r="H1438" t="s">
        <v>15</v>
      </c>
      <c r="I1438" t="s">
        <v>43</v>
      </c>
      <c r="J1438" s="2">
        <f>Table1_1[[#This Row],[Sales]]-Table1_1[[#This Row],[Sales]]*Table1_1[[#This Row],[Discount]]</f>
        <v>2790.8240000000001</v>
      </c>
      <c r="K1438" s="1">
        <v>45140</v>
      </c>
      <c r="L1438" s="11">
        <v>45146</v>
      </c>
      <c r="M1438">
        <f>DATEDIF(Table1_1[[#This Row],[Order Date]],Table1_1[[#This Row],[Ship Date]],"D")</f>
        <v>6</v>
      </c>
    </row>
    <row r="1439" spans="1:13" x14ac:dyDescent="0.35">
      <c r="A1439" t="s">
        <v>1854</v>
      </c>
      <c r="B1439" t="s">
        <v>258</v>
      </c>
      <c r="C1439" t="s">
        <v>220</v>
      </c>
      <c r="D1439" s="2">
        <v>2573.7399999999998</v>
      </c>
      <c r="E1439">
        <v>1</v>
      </c>
      <c r="F1439">
        <v>0.1</v>
      </c>
      <c r="G1439" t="s">
        <v>14</v>
      </c>
      <c r="H1439" t="s">
        <v>21</v>
      </c>
      <c r="I1439" t="s">
        <v>43</v>
      </c>
      <c r="J1439" s="2">
        <f>Table1_1[[#This Row],[Sales]]-Table1_1[[#This Row],[Sales]]*Table1_1[[#This Row],[Discount]]</f>
        <v>2316.366</v>
      </c>
      <c r="K1439" s="1">
        <v>45545</v>
      </c>
      <c r="L1439" s="11">
        <v>45550</v>
      </c>
      <c r="M1439">
        <f>DATEDIF(Table1_1[[#This Row],[Order Date]],Table1_1[[#This Row],[Ship Date]],"D")</f>
        <v>5</v>
      </c>
    </row>
    <row r="1440" spans="1:13" x14ac:dyDescent="0.35">
      <c r="A1440" t="s">
        <v>1855</v>
      </c>
      <c r="B1440" t="s">
        <v>846</v>
      </c>
      <c r="C1440" t="s">
        <v>152</v>
      </c>
      <c r="D1440" s="2">
        <v>3615.7</v>
      </c>
      <c r="E1440">
        <v>8</v>
      </c>
      <c r="F1440">
        <v>0.1</v>
      </c>
      <c r="G1440" t="s">
        <v>39</v>
      </c>
      <c r="H1440" t="s">
        <v>15</v>
      </c>
      <c r="I1440" t="s">
        <v>20</v>
      </c>
      <c r="J1440" s="2">
        <f>Table1_1[[#This Row],[Sales]]-Table1_1[[#This Row],[Sales]]*Table1_1[[#This Row],[Discount]]</f>
        <v>3254.1299999999997</v>
      </c>
      <c r="K1440" s="1">
        <v>45488</v>
      </c>
      <c r="L1440" s="11">
        <v>45491</v>
      </c>
      <c r="M1440">
        <f>DATEDIF(Table1_1[[#This Row],[Order Date]],Table1_1[[#This Row],[Ship Date]],"D")</f>
        <v>3</v>
      </c>
    </row>
    <row r="1441" spans="1:13" x14ac:dyDescent="0.35">
      <c r="A1441" t="s">
        <v>1856</v>
      </c>
      <c r="B1441" t="s">
        <v>424</v>
      </c>
      <c r="C1441" t="s">
        <v>91</v>
      </c>
      <c r="D1441" s="2">
        <v>3744.58</v>
      </c>
      <c r="E1441">
        <v>7</v>
      </c>
      <c r="F1441">
        <v>0.2</v>
      </c>
      <c r="G1441" t="s">
        <v>19</v>
      </c>
      <c r="H1441" t="s">
        <v>21</v>
      </c>
      <c r="I1441" t="s">
        <v>43</v>
      </c>
      <c r="J1441" s="2">
        <f>Table1_1[[#This Row],[Sales]]-Table1_1[[#This Row],[Sales]]*Table1_1[[#This Row],[Discount]]</f>
        <v>2995.6639999999998</v>
      </c>
      <c r="K1441" s="1">
        <v>45471</v>
      </c>
      <c r="L1441" s="11">
        <v>45472</v>
      </c>
      <c r="M1441">
        <f>DATEDIF(Table1_1[[#This Row],[Order Date]],Table1_1[[#This Row],[Ship Date]],"D")</f>
        <v>1</v>
      </c>
    </row>
    <row r="1442" spans="1:13" x14ac:dyDescent="0.35">
      <c r="A1442" t="s">
        <v>1857</v>
      </c>
      <c r="B1442" t="s">
        <v>380</v>
      </c>
      <c r="C1442" t="s">
        <v>146</v>
      </c>
      <c r="D1442" s="2">
        <v>4819.6000000000004</v>
      </c>
      <c r="E1442">
        <v>4</v>
      </c>
      <c r="F1442">
        <v>0</v>
      </c>
      <c r="G1442" t="s">
        <v>14</v>
      </c>
      <c r="H1442" t="s">
        <v>15</v>
      </c>
      <c r="I1442" t="s">
        <v>20</v>
      </c>
      <c r="J1442" s="2">
        <f>Table1_1[[#This Row],[Sales]]-Table1_1[[#This Row],[Sales]]*Table1_1[[#This Row],[Discount]]</f>
        <v>4819.6000000000004</v>
      </c>
      <c r="K1442" s="1">
        <v>45460</v>
      </c>
      <c r="L1442" s="11">
        <v>45462</v>
      </c>
      <c r="M1442">
        <f>DATEDIF(Table1_1[[#This Row],[Order Date]],Table1_1[[#This Row],[Ship Date]],"D")</f>
        <v>2</v>
      </c>
    </row>
    <row r="1443" spans="1:13" x14ac:dyDescent="0.35">
      <c r="A1443" t="s">
        <v>1858</v>
      </c>
      <c r="B1443" t="s">
        <v>538</v>
      </c>
      <c r="C1443" t="s">
        <v>408</v>
      </c>
      <c r="D1443" s="2">
        <v>4265.74</v>
      </c>
      <c r="E1443">
        <v>5</v>
      </c>
      <c r="F1443">
        <v>0.2</v>
      </c>
      <c r="G1443" t="s">
        <v>19</v>
      </c>
      <c r="H1443" t="s">
        <v>15</v>
      </c>
      <c r="I1443" t="s">
        <v>43</v>
      </c>
      <c r="J1443" s="2">
        <f>Table1_1[[#This Row],[Sales]]-Table1_1[[#This Row],[Sales]]*Table1_1[[#This Row],[Discount]]</f>
        <v>3412.5919999999996</v>
      </c>
      <c r="K1443" s="1">
        <v>45518</v>
      </c>
      <c r="L1443" s="11">
        <v>45522</v>
      </c>
      <c r="M1443">
        <f>DATEDIF(Table1_1[[#This Row],[Order Date]],Table1_1[[#This Row],[Ship Date]],"D")</f>
        <v>4</v>
      </c>
    </row>
    <row r="1444" spans="1:13" x14ac:dyDescent="0.35">
      <c r="A1444" t="s">
        <v>1859</v>
      </c>
      <c r="B1444" t="s">
        <v>457</v>
      </c>
      <c r="C1444" t="s">
        <v>180</v>
      </c>
      <c r="D1444" s="2">
        <v>792.98</v>
      </c>
      <c r="E1444">
        <v>10</v>
      </c>
      <c r="F1444">
        <v>0.3</v>
      </c>
      <c r="G1444" t="s">
        <v>19</v>
      </c>
      <c r="H1444" t="s">
        <v>21</v>
      </c>
      <c r="I1444" t="s">
        <v>16</v>
      </c>
      <c r="J1444" s="2">
        <f>Table1_1[[#This Row],[Sales]]-Table1_1[[#This Row],[Sales]]*Table1_1[[#This Row],[Discount]]</f>
        <v>555.08600000000001</v>
      </c>
      <c r="K1444" s="1">
        <v>45508</v>
      </c>
      <c r="L1444" s="11">
        <v>45514</v>
      </c>
      <c r="M1444">
        <f>DATEDIF(Table1_1[[#This Row],[Order Date]],Table1_1[[#This Row],[Ship Date]],"D")</f>
        <v>6</v>
      </c>
    </row>
    <row r="1445" spans="1:13" x14ac:dyDescent="0.35">
      <c r="A1445" t="s">
        <v>1860</v>
      </c>
      <c r="B1445" t="s">
        <v>652</v>
      </c>
      <c r="C1445" t="s">
        <v>237</v>
      </c>
      <c r="D1445" s="2">
        <v>445.97</v>
      </c>
      <c r="E1445">
        <v>2</v>
      </c>
      <c r="F1445">
        <v>0.1</v>
      </c>
      <c r="G1445" t="s">
        <v>14</v>
      </c>
      <c r="H1445" t="s">
        <v>15</v>
      </c>
      <c r="I1445" t="s">
        <v>20</v>
      </c>
      <c r="J1445" s="2">
        <f>Table1_1[[#This Row],[Sales]]-Table1_1[[#This Row],[Sales]]*Table1_1[[#This Row],[Discount]]</f>
        <v>401.37300000000005</v>
      </c>
      <c r="K1445" s="1">
        <v>45123</v>
      </c>
      <c r="L1445" s="11">
        <v>45127</v>
      </c>
      <c r="M1445">
        <f>DATEDIF(Table1_1[[#This Row],[Order Date]],Table1_1[[#This Row],[Ship Date]],"D")</f>
        <v>4</v>
      </c>
    </row>
    <row r="1446" spans="1:13" x14ac:dyDescent="0.35">
      <c r="A1446" t="s">
        <v>1861</v>
      </c>
      <c r="B1446" t="s">
        <v>280</v>
      </c>
      <c r="C1446" t="s">
        <v>65</v>
      </c>
      <c r="D1446" s="2">
        <v>2749.18</v>
      </c>
      <c r="E1446">
        <v>10</v>
      </c>
      <c r="F1446">
        <v>0.2</v>
      </c>
      <c r="G1446" t="s">
        <v>14</v>
      </c>
      <c r="H1446" t="s">
        <v>15</v>
      </c>
      <c r="I1446" t="s">
        <v>16</v>
      </c>
      <c r="J1446" s="2">
        <f>Table1_1[[#This Row],[Sales]]-Table1_1[[#This Row],[Sales]]*Table1_1[[#This Row],[Discount]]</f>
        <v>2199.3440000000001</v>
      </c>
      <c r="K1446" s="1">
        <v>45301</v>
      </c>
      <c r="L1446" s="11">
        <v>45308</v>
      </c>
      <c r="M1446">
        <f>DATEDIF(Table1_1[[#This Row],[Order Date]],Table1_1[[#This Row],[Ship Date]],"D")</f>
        <v>7</v>
      </c>
    </row>
    <row r="1447" spans="1:13" x14ac:dyDescent="0.35">
      <c r="A1447" t="s">
        <v>1862</v>
      </c>
      <c r="B1447" t="s">
        <v>156</v>
      </c>
      <c r="C1447" t="s">
        <v>226</v>
      </c>
      <c r="D1447" s="2">
        <v>2686</v>
      </c>
      <c r="E1447">
        <v>5</v>
      </c>
      <c r="F1447">
        <v>0</v>
      </c>
      <c r="G1447" t="s">
        <v>14</v>
      </c>
      <c r="H1447" t="s">
        <v>15</v>
      </c>
      <c r="I1447" t="s">
        <v>16</v>
      </c>
      <c r="J1447" s="2">
        <f>Table1_1[[#This Row],[Sales]]-Table1_1[[#This Row],[Sales]]*Table1_1[[#This Row],[Discount]]</f>
        <v>2686</v>
      </c>
      <c r="K1447" s="1">
        <v>45236</v>
      </c>
      <c r="L1447" s="11">
        <v>45237</v>
      </c>
      <c r="M1447">
        <f>DATEDIF(Table1_1[[#This Row],[Order Date]],Table1_1[[#This Row],[Ship Date]],"D")</f>
        <v>1</v>
      </c>
    </row>
    <row r="1448" spans="1:13" x14ac:dyDescent="0.35">
      <c r="A1448" t="s">
        <v>1863</v>
      </c>
      <c r="B1448" t="s">
        <v>627</v>
      </c>
      <c r="C1448" t="s">
        <v>143</v>
      </c>
      <c r="D1448" s="2">
        <v>214.37</v>
      </c>
      <c r="E1448">
        <v>6</v>
      </c>
      <c r="F1448">
        <v>0.1</v>
      </c>
      <c r="G1448" t="s">
        <v>14</v>
      </c>
      <c r="H1448" t="s">
        <v>15</v>
      </c>
      <c r="I1448" t="s">
        <v>43</v>
      </c>
      <c r="J1448" s="2">
        <f>Table1_1[[#This Row],[Sales]]-Table1_1[[#This Row],[Sales]]*Table1_1[[#This Row],[Discount]]</f>
        <v>192.93299999999999</v>
      </c>
      <c r="K1448" s="1">
        <v>45328</v>
      </c>
      <c r="L1448" s="11">
        <v>45331</v>
      </c>
      <c r="M1448">
        <f>DATEDIF(Table1_1[[#This Row],[Order Date]],Table1_1[[#This Row],[Ship Date]],"D")</f>
        <v>3</v>
      </c>
    </row>
    <row r="1449" spans="1:13" x14ac:dyDescent="0.35">
      <c r="A1449" t="s">
        <v>1864</v>
      </c>
      <c r="B1449" t="s">
        <v>1434</v>
      </c>
      <c r="C1449" t="s">
        <v>185</v>
      </c>
      <c r="D1449" s="2">
        <v>4810.5600000000004</v>
      </c>
      <c r="E1449">
        <v>2</v>
      </c>
      <c r="F1449">
        <v>0.2</v>
      </c>
      <c r="G1449" t="s">
        <v>14</v>
      </c>
      <c r="H1449" t="s">
        <v>15</v>
      </c>
      <c r="I1449" t="s">
        <v>43</v>
      </c>
      <c r="J1449" s="2">
        <f>Table1_1[[#This Row],[Sales]]-Table1_1[[#This Row],[Sales]]*Table1_1[[#This Row],[Discount]]</f>
        <v>3848.4480000000003</v>
      </c>
      <c r="K1449" s="1">
        <v>45738</v>
      </c>
      <c r="L1449" s="11">
        <v>45741</v>
      </c>
      <c r="M1449">
        <f>DATEDIF(Table1_1[[#This Row],[Order Date]],Table1_1[[#This Row],[Ship Date]],"D")</f>
        <v>3</v>
      </c>
    </row>
    <row r="1450" spans="1:13" x14ac:dyDescent="0.35">
      <c r="A1450" t="s">
        <v>1865</v>
      </c>
      <c r="B1450" t="s">
        <v>338</v>
      </c>
      <c r="C1450" t="s">
        <v>226</v>
      </c>
      <c r="D1450" s="2">
        <v>1023.61</v>
      </c>
      <c r="E1450">
        <v>7</v>
      </c>
      <c r="F1450">
        <v>0</v>
      </c>
      <c r="G1450" t="s">
        <v>39</v>
      </c>
      <c r="H1450" t="s">
        <v>21</v>
      </c>
      <c r="I1450" t="s">
        <v>43</v>
      </c>
      <c r="J1450" s="2">
        <f>Table1_1[[#This Row],[Sales]]-Table1_1[[#This Row],[Sales]]*Table1_1[[#This Row],[Discount]]</f>
        <v>1023.61</v>
      </c>
      <c r="K1450" s="1">
        <v>45326</v>
      </c>
      <c r="L1450" s="11">
        <v>45330</v>
      </c>
      <c r="M1450">
        <f>DATEDIF(Table1_1[[#This Row],[Order Date]],Table1_1[[#This Row],[Ship Date]],"D")</f>
        <v>4</v>
      </c>
    </row>
    <row r="1451" spans="1:13" x14ac:dyDescent="0.35">
      <c r="A1451" t="s">
        <v>1866</v>
      </c>
      <c r="B1451" t="s">
        <v>314</v>
      </c>
      <c r="C1451" t="s">
        <v>262</v>
      </c>
      <c r="D1451" s="2">
        <v>2776.65</v>
      </c>
      <c r="E1451">
        <v>8</v>
      </c>
      <c r="F1451">
        <v>0</v>
      </c>
      <c r="G1451" t="s">
        <v>14</v>
      </c>
      <c r="H1451" t="s">
        <v>15</v>
      </c>
      <c r="I1451" t="s">
        <v>16</v>
      </c>
      <c r="J1451" s="2">
        <f>Table1_1[[#This Row],[Sales]]-Table1_1[[#This Row],[Sales]]*Table1_1[[#This Row],[Discount]]</f>
        <v>2776.65</v>
      </c>
      <c r="K1451" s="1">
        <v>45736</v>
      </c>
      <c r="L1451" s="11">
        <v>45740</v>
      </c>
      <c r="M1451">
        <f>DATEDIF(Table1_1[[#This Row],[Order Date]],Table1_1[[#This Row],[Ship Date]],"D")</f>
        <v>4</v>
      </c>
    </row>
    <row r="1452" spans="1:13" x14ac:dyDescent="0.35">
      <c r="A1452" t="s">
        <v>1867</v>
      </c>
      <c r="B1452" t="s">
        <v>422</v>
      </c>
      <c r="C1452" t="s">
        <v>197</v>
      </c>
      <c r="D1452" s="2">
        <v>3851.07</v>
      </c>
      <c r="E1452">
        <v>6</v>
      </c>
      <c r="F1452">
        <v>0.3</v>
      </c>
      <c r="G1452" t="s">
        <v>39</v>
      </c>
      <c r="H1452" t="s">
        <v>21</v>
      </c>
      <c r="I1452" t="s">
        <v>20</v>
      </c>
      <c r="J1452" s="2">
        <f>Table1_1[[#This Row],[Sales]]-Table1_1[[#This Row],[Sales]]*Table1_1[[#This Row],[Discount]]</f>
        <v>2695.7490000000003</v>
      </c>
      <c r="K1452" s="1">
        <v>45503</v>
      </c>
      <c r="L1452" s="11">
        <v>45507</v>
      </c>
      <c r="M1452">
        <f>DATEDIF(Table1_1[[#This Row],[Order Date]],Table1_1[[#This Row],[Ship Date]],"D")</f>
        <v>4</v>
      </c>
    </row>
    <row r="1453" spans="1:13" x14ac:dyDescent="0.35">
      <c r="A1453" t="s">
        <v>1868</v>
      </c>
      <c r="B1453" t="s">
        <v>492</v>
      </c>
      <c r="C1453" t="s">
        <v>82</v>
      </c>
      <c r="D1453" s="2">
        <v>2191.17</v>
      </c>
      <c r="E1453">
        <v>6</v>
      </c>
      <c r="F1453">
        <v>0.3</v>
      </c>
      <c r="G1453" t="s">
        <v>19</v>
      </c>
      <c r="H1453" t="s">
        <v>15</v>
      </c>
      <c r="I1453" t="s">
        <v>43</v>
      </c>
      <c r="J1453" s="2">
        <f>Table1_1[[#This Row],[Sales]]-Table1_1[[#This Row],[Sales]]*Table1_1[[#This Row],[Discount]]</f>
        <v>1533.819</v>
      </c>
      <c r="K1453" s="1">
        <v>45586</v>
      </c>
      <c r="L1453" s="11">
        <v>45589</v>
      </c>
      <c r="M1453">
        <f>DATEDIF(Table1_1[[#This Row],[Order Date]],Table1_1[[#This Row],[Ship Date]],"D")</f>
        <v>3</v>
      </c>
    </row>
    <row r="1454" spans="1:13" x14ac:dyDescent="0.35">
      <c r="A1454" t="s">
        <v>1869</v>
      </c>
      <c r="B1454" t="s">
        <v>632</v>
      </c>
      <c r="C1454" t="s">
        <v>251</v>
      </c>
      <c r="D1454" s="2">
        <v>3645.63</v>
      </c>
      <c r="E1454">
        <v>6</v>
      </c>
      <c r="F1454">
        <v>0</v>
      </c>
      <c r="G1454" t="s">
        <v>14</v>
      </c>
      <c r="H1454" t="s">
        <v>15</v>
      </c>
      <c r="I1454" t="s">
        <v>43</v>
      </c>
      <c r="J1454" s="2">
        <f>Table1_1[[#This Row],[Sales]]-Table1_1[[#This Row],[Sales]]*Table1_1[[#This Row],[Discount]]</f>
        <v>3645.63</v>
      </c>
      <c r="K1454" s="1">
        <v>45262</v>
      </c>
      <c r="L1454" s="11">
        <v>45263</v>
      </c>
      <c r="M1454">
        <f>DATEDIF(Table1_1[[#This Row],[Order Date]],Table1_1[[#This Row],[Ship Date]],"D")</f>
        <v>1</v>
      </c>
    </row>
    <row r="1455" spans="1:13" x14ac:dyDescent="0.35">
      <c r="A1455" t="s">
        <v>1870</v>
      </c>
      <c r="B1455" t="s">
        <v>101</v>
      </c>
      <c r="C1455" t="s">
        <v>57</v>
      </c>
      <c r="D1455" s="2">
        <v>1119.71</v>
      </c>
      <c r="E1455">
        <v>4</v>
      </c>
      <c r="F1455">
        <v>0.1</v>
      </c>
      <c r="G1455" t="s">
        <v>14</v>
      </c>
      <c r="H1455" t="s">
        <v>15</v>
      </c>
      <c r="I1455" t="s">
        <v>20</v>
      </c>
      <c r="J1455" s="2">
        <f>Table1_1[[#This Row],[Sales]]-Table1_1[[#This Row],[Sales]]*Table1_1[[#This Row],[Discount]]</f>
        <v>1007.739</v>
      </c>
      <c r="K1455" s="1">
        <v>45322</v>
      </c>
      <c r="L1455" s="11">
        <v>45328</v>
      </c>
      <c r="M1455">
        <f>DATEDIF(Table1_1[[#This Row],[Order Date]],Table1_1[[#This Row],[Ship Date]],"D")</f>
        <v>6</v>
      </c>
    </row>
    <row r="1456" spans="1:13" x14ac:dyDescent="0.35">
      <c r="A1456" t="s">
        <v>1871</v>
      </c>
      <c r="B1456" t="s">
        <v>351</v>
      </c>
      <c r="C1456" t="s">
        <v>46</v>
      </c>
      <c r="D1456" s="2">
        <v>976.01</v>
      </c>
      <c r="E1456">
        <v>10</v>
      </c>
      <c r="F1456">
        <v>0.1</v>
      </c>
      <c r="G1456" t="s">
        <v>39</v>
      </c>
      <c r="H1456" t="s">
        <v>15</v>
      </c>
      <c r="I1456" t="s">
        <v>16</v>
      </c>
      <c r="J1456" s="2">
        <f>Table1_1[[#This Row],[Sales]]-Table1_1[[#This Row],[Sales]]*Table1_1[[#This Row],[Discount]]</f>
        <v>878.40899999999999</v>
      </c>
      <c r="K1456" s="1">
        <v>45551</v>
      </c>
      <c r="L1456" s="11">
        <v>45558</v>
      </c>
      <c r="M1456">
        <f>DATEDIF(Table1_1[[#This Row],[Order Date]],Table1_1[[#This Row],[Ship Date]],"D")</f>
        <v>7</v>
      </c>
    </row>
    <row r="1457" spans="1:13" x14ac:dyDescent="0.35">
      <c r="A1457" t="s">
        <v>1872</v>
      </c>
      <c r="B1457" t="s">
        <v>474</v>
      </c>
      <c r="C1457" t="s">
        <v>229</v>
      </c>
      <c r="D1457" s="2">
        <v>4145.1499999999996</v>
      </c>
      <c r="E1457">
        <v>8</v>
      </c>
      <c r="F1457">
        <v>0</v>
      </c>
      <c r="G1457" t="s">
        <v>19</v>
      </c>
      <c r="H1457" t="s">
        <v>15</v>
      </c>
      <c r="I1457" t="s">
        <v>43</v>
      </c>
      <c r="J1457" s="2">
        <f>Table1_1[[#This Row],[Sales]]-Table1_1[[#This Row],[Sales]]*Table1_1[[#This Row],[Discount]]</f>
        <v>4145.1499999999996</v>
      </c>
      <c r="K1457" s="1">
        <v>44981</v>
      </c>
      <c r="L1457" s="11">
        <v>44985</v>
      </c>
      <c r="M1457">
        <f>DATEDIF(Table1_1[[#This Row],[Order Date]],Table1_1[[#This Row],[Ship Date]],"D")</f>
        <v>4</v>
      </c>
    </row>
    <row r="1458" spans="1:13" x14ac:dyDescent="0.35">
      <c r="A1458" t="s">
        <v>1873</v>
      </c>
      <c r="B1458" t="s">
        <v>590</v>
      </c>
      <c r="C1458" t="s">
        <v>246</v>
      </c>
      <c r="D1458" s="2">
        <v>4395.8999999999996</v>
      </c>
      <c r="E1458">
        <v>6</v>
      </c>
      <c r="F1458">
        <v>0.3</v>
      </c>
      <c r="G1458" t="s">
        <v>14</v>
      </c>
      <c r="H1458" t="s">
        <v>21</v>
      </c>
      <c r="I1458" t="s">
        <v>16</v>
      </c>
      <c r="J1458" s="2">
        <f>Table1_1[[#This Row],[Sales]]-Table1_1[[#This Row],[Sales]]*Table1_1[[#This Row],[Discount]]</f>
        <v>3077.13</v>
      </c>
      <c r="K1458" s="1">
        <v>45529</v>
      </c>
      <c r="L1458" s="11">
        <v>45535</v>
      </c>
      <c r="M1458">
        <f>DATEDIF(Table1_1[[#This Row],[Order Date]],Table1_1[[#This Row],[Ship Date]],"D")</f>
        <v>6</v>
      </c>
    </row>
    <row r="1459" spans="1:13" x14ac:dyDescent="0.35">
      <c r="A1459" t="s">
        <v>1874</v>
      </c>
      <c r="B1459" t="s">
        <v>801</v>
      </c>
      <c r="C1459" t="s">
        <v>194</v>
      </c>
      <c r="D1459" s="2">
        <v>1625.37</v>
      </c>
      <c r="E1459">
        <v>5</v>
      </c>
      <c r="F1459">
        <v>0.3</v>
      </c>
      <c r="G1459" t="s">
        <v>14</v>
      </c>
      <c r="H1459" t="s">
        <v>15</v>
      </c>
      <c r="I1459" t="s">
        <v>20</v>
      </c>
      <c r="J1459" s="2">
        <f>Table1_1[[#This Row],[Sales]]-Table1_1[[#This Row],[Sales]]*Table1_1[[#This Row],[Discount]]</f>
        <v>1137.759</v>
      </c>
      <c r="K1459" s="1">
        <v>45191</v>
      </c>
      <c r="L1459" s="11">
        <v>45193</v>
      </c>
      <c r="M1459">
        <f>DATEDIF(Table1_1[[#This Row],[Order Date]],Table1_1[[#This Row],[Ship Date]],"D")</f>
        <v>2</v>
      </c>
    </row>
    <row r="1460" spans="1:13" x14ac:dyDescent="0.35">
      <c r="A1460" t="s">
        <v>1875</v>
      </c>
      <c r="B1460" t="s">
        <v>134</v>
      </c>
      <c r="C1460" t="s">
        <v>565</v>
      </c>
      <c r="D1460" s="2">
        <v>3934.15</v>
      </c>
      <c r="E1460">
        <v>3</v>
      </c>
      <c r="F1460">
        <v>0.2</v>
      </c>
      <c r="G1460" t="s">
        <v>14</v>
      </c>
      <c r="H1460" t="s">
        <v>21</v>
      </c>
      <c r="I1460" t="s">
        <v>43</v>
      </c>
      <c r="J1460" s="2">
        <f>Table1_1[[#This Row],[Sales]]-Table1_1[[#This Row],[Sales]]*Table1_1[[#This Row],[Discount]]</f>
        <v>3147.32</v>
      </c>
      <c r="K1460" s="1">
        <v>45430</v>
      </c>
      <c r="L1460" s="11">
        <v>45434</v>
      </c>
      <c r="M1460">
        <f>DATEDIF(Table1_1[[#This Row],[Order Date]],Table1_1[[#This Row],[Ship Date]],"D")</f>
        <v>4</v>
      </c>
    </row>
    <row r="1461" spans="1:13" x14ac:dyDescent="0.35">
      <c r="A1461" t="s">
        <v>1876</v>
      </c>
      <c r="B1461" t="s">
        <v>76</v>
      </c>
      <c r="C1461" t="s">
        <v>1012</v>
      </c>
      <c r="D1461" s="2">
        <v>1316.27</v>
      </c>
      <c r="E1461">
        <v>4</v>
      </c>
      <c r="F1461">
        <v>0.1</v>
      </c>
      <c r="G1461" t="s">
        <v>14</v>
      </c>
      <c r="H1461" t="s">
        <v>21</v>
      </c>
      <c r="I1461" t="s">
        <v>16</v>
      </c>
      <c r="J1461" s="2">
        <f>Table1_1[[#This Row],[Sales]]-Table1_1[[#This Row],[Sales]]*Table1_1[[#This Row],[Discount]]</f>
        <v>1184.643</v>
      </c>
      <c r="K1461" s="1">
        <v>45153</v>
      </c>
      <c r="L1461" s="11">
        <v>45155</v>
      </c>
      <c r="M1461">
        <f>DATEDIF(Table1_1[[#This Row],[Order Date]],Table1_1[[#This Row],[Ship Date]],"D")</f>
        <v>2</v>
      </c>
    </row>
    <row r="1462" spans="1:13" x14ac:dyDescent="0.35">
      <c r="A1462" t="s">
        <v>1877</v>
      </c>
      <c r="B1462" t="s">
        <v>603</v>
      </c>
      <c r="C1462" t="s">
        <v>273</v>
      </c>
      <c r="D1462" s="2">
        <v>2559.89</v>
      </c>
      <c r="E1462">
        <v>1</v>
      </c>
      <c r="F1462">
        <v>0</v>
      </c>
      <c r="G1462" t="s">
        <v>19</v>
      </c>
      <c r="H1462" t="s">
        <v>21</v>
      </c>
      <c r="I1462" t="s">
        <v>43</v>
      </c>
      <c r="J1462" s="2">
        <f>Table1_1[[#This Row],[Sales]]-Table1_1[[#This Row],[Sales]]*Table1_1[[#This Row],[Discount]]</f>
        <v>2559.89</v>
      </c>
      <c r="K1462" s="1">
        <v>45290</v>
      </c>
      <c r="L1462" s="11">
        <v>45291</v>
      </c>
      <c r="M1462">
        <f>DATEDIF(Table1_1[[#This Row],[Order Date]],Table1_1[[#This Row],[Ship Date]],"D")</f>
        <v>1</v>
      </c>
    </row>
    <row r="1463" spans="1:13" x14ac:dyDescent="0.35">
      <c r="A1463" t="s">
        <v>1878</v>
      </c>
      <c r="B1463" t="s">
        <v>324</v>
      </c>
      <c r="C1463" t="s">
        <v>169</v>
      </c>
      <c r="D1463" s="2">
        <v>4705.57</v>
      </c>
      <c r="E1463">
        <v>9</v>
      </c>
      <c r="F1463">
        <v>0.2</v>
      </c>
      <c r="G1463" t="s">
        <v>19</v>
      </c>
      <c r="H1463" t="s">
        <v>21</v>
      </c>
      <c r="I1463" t="s">
        <v>43</v>
      </c>
      <c r="J1463" s="2">
        <f>Table1_1[[#This Row],[Sales]]-Table1_1[[#This Row],[Sales]]*Table1_1[[#This Row],[Discount]]</f>
        <v>3764.4559999999997</v>
      </c>
      <c r="K1463" s="1">
        <v>45414</v>
      </c>
      <c r="L1463" s="11">
        <v>45415</v>
      </c>
      <c r="M1463">
        <f>DATEDIF(Table1_1[[#This Row],[Order Date]],Table1_1[[#This Row],[Ship Date]],"D")</f>
        <v>1</v>
      </c>
    </row>
    <row r="1464" spans="1:13" x14ac:dyDescent="0.35">
      <c r="A1464" t="s">
        <v>1879</v>
      </c>
      <c r="B1464" t="s">
        <v>438</v>
      </c>
      <c r="C1464" t="s">
        <v>265</v>
      </c>
      <c r="D1464" s="2">
        <v>4408.88</v>
      </c>
      <c r="E1464">
        <v>9</v>
      </c>
      <c r="F1464">
        <v>0</v>
      </c>
      <c r="G1464" t="s">
        <v>14</v>
      </c>
      <c r="H1464" t="s">
        <v>15</v>
      </c>
      <c r="I1464" t="s">
        <v>20</v>
      </c>
      <c r="J1464" s="2">
        <f>Table1_1[[#This Row],[Sales]]-Table1_1[[#This Row],[Sales]]*Table1_1[[#This Row],[Discount]]</f>
        <v>4408.88</v>
      </c>
      <c r="K1464" s="1">
        <v>45552</v>
      </c>
      <c r="L1464" s="11">
        <v>45555</v>
      </c>
      <c r="M1464">
        <f>DATEDIF(Table1_1[[#This Row],[Order Date]],Table1_1[[#This Row],[Ship Date]],"D")</f>
        <v>3</v>
      </c>
    </row>
    <row r="1465" spans="1:13" x14ac:dyDescent="0.35">
      <c r="A1465" t="s">
        <v>1880</v>
      </c>
      <c r="B1465" t="s">
        <v>1054</v>
      </c>
      <c r="C1465" t="s">
        <v>696</v>
      </c>
      <c r="D1465" s="2">
        <v>3976.69</v>
      </c>
      <c r="E1465">
        <v>4</v>
      </c>
      <c r="F1465">
        <v>0.1</v>
      </c>
      <c r="G1465" t="s">
        <v>14</v>
      </c>
      <c r="H1465" t="s">
        <v>21</v>
      </c>
      <c r="I1465" t="s">
        <v>20</v>
      </c>
      <c r="J1465" s="2">
        <f>Table1_1[[#This Row],[Sales]]-Table1_1[[#This Row],[Sales]]*Table1_1[[#This Row],[Discount]]</f>
        <v>3579.0210000000002</v>
      </c>
      <c r="K1465" s="1">
        <v>45208</v>
      </c>
      <c r="L1465" s="11">
        <v>45215</v>
      </c>
      <c r="M1465">
        <f>DATEDIF(Table1_1[[#This Row],[Order Date]],Table1_1[[#This Row],[Ship Date]],"D")</f>
        <v>7</v>
      </c>
    </row>
    <row r="1466" spans="1:13" x14ac:dyDescent="0.35">
      <c r="A1466" t="s">
        <v>1881</v>
      </c>
      <c r="B1466" t="s">
        <v>137</v>
      </c>
      <c r="C1466" t="s">
        <v>310</v>
      </c>
      <c r="D1466" s="2">
        <v>659.98</v>
      </c>
      <c r="E1466">
        <v>5</v>
      </c>
      <c r="F1466">
        <v>0.1</v>
      </c>
      <c r="G1466" t="s">
        <v>19</v>
      </c>
      <c r="H1466" t="s">
        <v>15</v>
      </c>
      <c r="I1466" t="s">
        <v>43</v>
      </c>
      <c r="J1466" s="2">
        <f>Table1_1[[#This Row],[Sales]]-Table1_1[[#This Row],[Sales]]*Table1_1[[#This Row],[Discount]]</f>
        <v>593.98199999999997</v>
      </c>
      <c r="K1466" s="1">
        <v>45516</v>
      </c>
      <c r="L1466" s="11">
        <v>45518</v>
      </c>
      <c r="M1466">
        <f>DATEDIF(Table1_1[[#This Row],[Order Date]],Table1_1[[#This Row],[Ship Date]],"D")</f>
        <v>2</v>
      </c>
    </row>
    <row r="1467" spans="1:13" x14ac:dyDescent="0.35">
      <c r="A1467" t="s">
        <v>1882</v>
      </c>
      <c r="B1467" t="s">
        <v>495</v>
      </c>
      <c r="C1467" t="s">
        <v>13</v>
      </c>
      <c r="D1467" s="2">
        <v>100.8</v>
      </c>
      <c r="E1467">
        <v>7</v>
      </c>
      <c r="F1467">
        <v>0.3</v>
      </c>
      <c r="G1467" t="s">
        <v>39</v>
      </c>
      <c r="H1467" t="s">
        <v>21</v>
      </c>
      <c r="I1467" t="s">
        <v>20</v>
      </c>
      <c r="J1467" s="2">
        <f>Table1_1[[#This Row],[Sales]]-Table1_1[[#This Row],[Sales]]*Table1_1[[#This Row],[Discount]]</f>
        <v>70.56</v>
      </c>
      <c r="K1467" s="1">
        <v>45629</v>
      </c>
      <c r="L1467" s="11">
        <v>45635</v>
      </c>
      <c r="M1467">
        <f>DATEDIF(Table1_1[[#This Row],[Order Date]],Table1_1[[#This Row],[Ship Date]],"D")</f>
        <v>6</v>
      </c>
    </row>
    <row r="1468" spans="1:13" x14ac:dyDescent="0.35">
      <c r="A1468" t="s">
        <v>1883</v>
      </c>
      <c r="B1468" t="s">
        <v>239</v>
      </c>
      <c r="C1468" t="s">
        <v>310</v>
      </c>
      <c r="D1468" s="2">
        <v>2855.63</v>
      </c>
      <c r="E1468">
        <v>6</v>
      </c>
      <c r="F1468">
        <v>0.2</v>
      </c>
      <c r="G1468" t="s">
        <v>19</v>
      </c>
      <c r="H1468" t="s">
        <v>15</v>
      </c>
      <c r="I1468" t="s">
        <v>20</v>
      </c>
      <c r="J1468" s="2">
        <f>Table1_1[[#This Row],[Sales]]-Table1_1[[#This Row],[Sales]]*Table1_1[[#This Row],[Discount]]</f>
        <v>2284.5039999999999</v>
      </c>
      <c r="K1468" s="1">
        <v>45825</v>
      </c>
      <c r="L1468" s="11">
        <v>45827</v>
      </c>
      <c r="M1468">
        <f>DATEDIF(Table1_1[[#This Row],[Order Date]],Table1_1[[#This Row],[Ship Date]],"D")</f>
        <v>2</v>
      </c>
    </row>
    <row r="1469" spans="1:13" x14ac:dyDescent="0.35">
      <c r="A1469" t="s">
        <v>1884</v>
      </c>
      <c r="B1469" t="s">
        <v>1069</v>
      </c>
      <c r="C1469" t="s">
        <v>105</v>
      </c>
      <c r="D1469" s="2">
        <v>493.77</v>
      </c>
      <c r="E1469">
        <v>4</v>
      </c>
      <c r="F1469">
        <v>0.2</v>
      </c>
      <c r="G1469" t="s">
        <v>19</v>
      </c>
      <c r="H1469" t="s">
        <v>15</v>
      </c>
      <c r="I1469" t="s">
        <v>20</v>
      </c>
      <c r="J1469" s="2">
        <f>Table1_1[[#This Row],[Sales]]-Table1_1[[#This Row],[Sales]]*Table1_1[[#This Row],[Discount]]</f>
        <v>395.01599999999996</v>
      </c>
      <c r="K1469" s="1">
        <v>45098</v>
      </c>
      <c r="L1469" s="11">
        <v>45099</v>
      </c>
      <c r="M1469">
        <f>DATEDIF(Table1_1[[#This Row],[Order Date]],Table1_1[[#This Row],[Ship Date]],"D")</f>
        <v>1</v>
      </c>
    </row>
    <row r="1470" spans="1:13" x14ac:dyDescent="0.35">
      <c r="A1470" t="s">
        <v>1885</v>
      </c>
      <c r="B1470" t="s">
        <v>387</v>
      </c>
      <c r="C1470" t="s">
        <v>1012</v>
      </c>
      <c r="D1470" s="2">
        <v>1937.5250000000001</v>
      </c>
      <c r="E1470">
        <v>2</v>
      </c>
      <c r="F1470">
        <v>0.2</v>
      </c>
      <c r="G1470" t="s">
        <v>19</v>
      </c>
      <c r="H1470" t="s">
        <v>15</v>
      </c>
      <c r="I1470" t="s">
        <v>16</v>
      </c>
      <c r="J1470" s="2">
        <f>Table1_1[[#This Row],[Sales]]-Table1_1[[#This Row],[Sales]]*Table1_1[[#This Row],[Discount]]</f>
        <v>1550.02</v>
      </c>
      <c r="K1470" s="1">
        <v>45479</v>
      </c>
      <c r="L1470" s="11">
        <v>45482</v>
      </c>
      <c r="M1470">
        <f>DATEDIF(Table1_1[[#This Row],[Order Date]],Table1_1[[#This Row],[Ship Date]],"D")</f>
        <v>3</v>
      </c>
    </row>
    <row r="1471" spans="1:13" x14ac:dyDescent="0.35">
      <c r="A1471" t="s">
        <v>1886</v>
      </c>
      <c r="B1471" t="s">
        <v>556</v>
      </c>
      <c r="C1471" t="s">
        <v>169</v>
      </c>
      <c r="D1471" s="2">
        <v>4297.13</v>
      </c>
      <c r="E1471">
        <v>9</v>
      </c>
      <c r="F1471">
        <v>0</v>
      </c>
      <c r="G1471" t="s">
        <v>14</v>
      </c>
      <c r="H1471" t="s">
        <v>21</v>
      </c>
      <c r="I1471" t="s">
        <v>43</v>
      </c>
      <c r="J1471" s="2">
        <f>Table1_1[[#This Row],[Sales]]-Table1_1[[#This Row],[Sales]]*Table1_1[[#This Row],[Discount]]</f>
        <v>4297.13</v>
      </c>
      <c r="K1471" s="1">
        <v>45281</v>
      </c>
      <c r="L1471" s="11">
        <v>45285</v>
      </c>
      <c r="M1471">
        <f>DATEDIF(Table1_1[[#This Row],[Order Date]],Table1_1[[#This Row],[Ship Date]],"D")</f>
        <v>4</v>
      </c>
    </row>
    <row r="1472" spans="1:13" x14ac:dyDescent="0.35">
      <c r="A1472" t="s">
        <v>1887</v>
      </c>
      <c r="B1472" t="s">
        <v>603</v>
      </c>
      <c r="C1472" t="s">
        <v>135</v>
      </c>
      <c r="D1472" s="2">
        <v>3083.25</v>
      </c>
      <c r="E1472">
        <v>7</v>
      </c>
      <c r="F1472">
        <v>0.3</v>
      </c>
      <c r="G1472" t="s">
        <v>19</v>
      </c>
      <c r="H1472" t="s">
        <v>15</v>
      </c>
      <c r="I1472" t="s">
        <v>20</v>
      </c>
      <c r="J1472" s="2">
        <f>Table1_1[[#This Row],[Sales]]-Table1_1[[#This Row],[Sales]]*Table1_1[[#This Row],[Discount]]</f>
        <v>2158.2750000000001</v>
      </c>
      <c r="K1472" s="1">
        <v>45300</v>
      </c>
      <c r="L1472" s="11">
        <v>45307</v>
      </c>
      <c r="M1472">
        <f>DATEDIF(Table1_1[[#This Row],[Order Date]],Table1_1[[#This Row],[Ship Date]],"D")</f>
        <v>7</v>
      </c>
    </row>
    <row r="1473" spans="1:13" x14ac:dyDescent="0.35">
      <c r="A1473" t="s">
        <v>1888</v>
      </c>
      <c r="B1473" t="s">
        <v>326</v>
      </c>
      <c r="C1473" t="s">
        <v>214</v>
      </c>
      <c r="D1473" s="2">
        <v>1931.98</v>
      </c>
      <c r="E1473">
        <v>8</v>
      </c>
      <c r="F1473">
        <v>0.2</v>
      </c>
      <c r="G1473" t="s">
        <v>14</v>
      </c>
      <c r="H1473" t="s">
        <v>15</v>
      </c>
      <c r="I1473" t="s">
        <v>43</v>
      </c>
      <c r="J1473" s="2">
        <f>Table1_1[[#This Row],[Sales]]-Table1_1[[#This Row],[Sales]]*Table1_1[[#This Row],[Discount]]</f>
        <v>1545.5840000000001</v>
      </c>
      <c r="K1473" s="1">
        <v>45300</v>
      </c>
      <c r="L1473" s="11">
        <v>45306</v>
      </c>
      <c r="M1473">
        <f>DATEDIF(Table1_1[[#This Row],[Order Date]],Table1_1[[#This Row],[Ship Date]],"D")</f>
        <v>6</v>
      </c>
    </row>
    <row r="1474" spans="1:13" x14ac:dyDescent="0.35">
      <c r="A1474" t="s">
        <v>1889</v>
      </c>
      <c r="B1474" t="s">
        <v>270</v>
      </c>
      <c r="C1474" t="s">
        <v>595</v>
      </c>
      <c r="D1474" s="2">
        <v>4654.57</v>
      </c>
      <c r="E1474">
        <v>10</v>
      </c>
      <c r="F1474">
        <v>0</v>
      </c>
      <c r="G1474" t="s">
        <v>14</v>
      </c>
      <c r="H1474" t="s">
        <v>21</v>
      </c>
      <c r="I1474" t="s">
        <v>20</v>
      </c>
      <c r="J1474" s="2">
        <f>Table1_1[[#This Row],[Sales]]-Table1_1[[#This Row],[Sales]]*Table1_1[[#This Row],[Discount]]</f>
        <v>4654.57</v>
      </c>
      <c r="K1474" s="1">
        <v>45250</v>
      </c>
      <c r="L1474" s="11">
        <v>45252</v>
      </c>
      <c r="M1474">
        <f>DATEDIF(Table1_1[[#This Row],[Order Date]],Table1_1[[#This Row],[Ship Date]],"D")</f>
        <v>2</v>
      </c>
    </row>
    <row r="1475" spans="1:13" x14ac:dyDescent="0.35">
      <c r="A1475" t="s">
        <v>1890</v>
      </c>
      <c r="B1475" t="s">
        <v>643</v>
      </c>
      <c r="C1475" t="s">
        <v>293</v>
      </c>
      <c r="D1475" s="2">
        <v>4913.62</v>
      </c>
      <c r="E1475">
        <v>5</v>
      </c>
      <c r="F1475">
        <v>0</v>
      </c>
      <c r="G1475" t="s">
        <v>14</v>
      </c>
      <c r="H1475" t="s">
        <v>21</v>
      </c>
      <c r="I1475" t="s">
        <v>16</v>
      </c>
      <c r="J1475" s="2">
        <f>Table1_1[[#This Row],[Sales]]-Table1_1[[#This Row],[Sales]]*Table1_1[[#This Row],[Discount]]</f>
        <v>4913.62</v>
      </c>
      <c r="K1475" s="1">
        <v>44996</v>
      </c>
      <c r="L1475" s="11">
        <v>44998</v>
      </c>
      <c r="M1475">
        <f>DATEDIF(Table1_1[[#This Row],[Order Date]],Table1_1[[#This Row],[Ship Date]],"D")</f>
        <v>2</v>
      </c>
    </row>
    <row r="1476" spans="1:13" x14ac:dyDescent="0.35">
      <c r="A1476" t="s">
        <v>1891</v>
      </c>
      <c r="B1476" t="s">
        <v>173</v>
      </c>
      <c r="C1476" t="s">
        <v>487</v>
      </c>
      <c r="D1476" s="2">
        <v>2795.29</v>
      </c>
      <c r="E1476">
        <v>8</v>
      </c>
      <c r="F1476">
        <v>0.2</v>
      </c>
      <c r="G1476" t="s">
        <v>39</v>
      </c>
      <c r="H1476" t="s">
        <v>15</v>
      </c>
      <c r="I1476" t="s">
        <v>43</v>
      </c>
      <c r="J1476" s="2">
        <f>Table1_1[[#This Row],[Sales]]-Table1_1[[#This Row],[Sales]]*Table1_1[[#This Row],[Discount]]</f>
        <v>2236.232</v>
      </c>
      <c r="K1476" s="1">
        <v>45153</v>
      </c>
      <c r="L1476" s="11">
        <v>45159</v>
      </c>
      <c r="M1476">
        <f>DATEDIF(Table1_1[[#This Row],[Order Date]],Table1_1[[#This Row],[Ship Date]],"D")</f>
        <v>6</v>
      </c>
    </row>
    <row r="1477" spans="1:13" x14ac:dyDescent="0.35">
      <c r="A1477" t="s">
        <v>1892</v>
      </c>
      <c r="B1477" t="s">
        <v>1054</v>
      </c>
      <c r="C1477" t="s">
        <v>441</v>
      </c>
      <c r="D1477" s="2">
        <v>1981.57</v>
      </c>
      <c r="E1477">
        <v>6</v>
      </c>
      <c r="F1477">
        <v>0.3</v>
      </c>
      <c r="G1477" t="s">
        <v>39</v>
      </c>
      <c r="H1477" t="s">
        <v>15</v>
      </c>
      <c r="I1477" t="s">
        <v>16</v>
      </c>
      <c r="J1477" s="2">
        <f>Table1_1[[#This Row],[Sales]]-Table1_1[[#This Row],[Sales]]*Table1_1[[#This Row],[Discount]]</f>
        <v>1387.0989999999999</v>
      </c>
      <c r="K1477" s="1">
        <v>45315</v>
      </c>
      <c r="L1477" s="11">
        <v>45322</v>
      </c>
      <c r="M1477">
        <f>DATEDIF(Table1_1[[#This Row],[Order Date]],Table1_1[[#This Row],[Ship Date]],"D")</f>
        <v>7</v>
      </c>
    </row>
    <row r="1478" spans="1:13" x14ac:dyDescent="0.35">
      <c r="A1478" t="s">
        <v>1893</v>
      </c>
      <c r="B1478" t="s">
        <v>906</v>
      </c>
      <c r="C1478" t="s">
        <v>31</v>
      </c>
      <c r="D1478" s="2">
        <v>3490.13</v>
      </c>
      <c r="E1478">
        <v>10</v>
      </c>
      <c r="F1478">
        <v>0</v>
      </c>
      <c r="G1478" t="s">
        <v>14</v>
      </c>
      <c r="H1478" t="s">
        <v>21</v>
      </c>
      <c r="I1478" t="s">
        <v>16</v>
      </c>
      <c r="J1478" s="2">
        <f>Table1_1[[#This Row],[Sales]]-Table1_1[[#This Row],[Sales]]*Table1_1[[#This Row],[Discount]]</f>
        <v>3490.13</v>
      </c>
      <c r="K1478" s="1">
        <v>45773</v>
      </c>
      <c r="L1478" s="11">
        <v>45775</v>
      </c>
      <c r="M1478">
        <f>DATEDIF(Table1_1[[#This Row],[Order Date]],Table1_1[[#This Row],[Ship Date]],"D")</f>
        <v>2</v>
      </c>
    </row>
    <row r="1479" spans="1:13" x14ac:dyDescent="0.35">
      <c r="A1479" t="s">
        <v>1894</v>
      </c>
      <c r="B1479" t="s">
        <v>104</v>
      </c>
      <c r="C1479" t="s">
        <v>450</v>
      </c>
      <c r="D1479" s="2">
        <v>1160.79</v>
      </c>
      <c r="E1479">
        <v>5</v>
      </c>
      <c r="F1479">
        <v>0.1</v>
      </c>
      <c r="G1479" t="s">
        <v>19</v>
      </c>
      <c r="H1479" t="s">
        <v>21</v>
      </c>
      <c r="I1479" t="s">
        <v>16</v>
      </c>
      <c r="J1479" s="2">
        <f>Table1_1[[#This Row],[Sales]]-Table1_1[[#This Row],[Sales]]*Table1_1[[#This Row],[Discount]]</f>
        <v>1044.711</v>
      </c>
      <c r="K1479" s="1">
        <v>45031</v>
      </c>
      <c r="L1479" s="11">
        <v>45032</v>
      </c>
      <c r="M1479">
        <f>DATEDIF(Table1_1[[#This Row],[Order Date]],Table1_1[[#This Row],[Ship Date]],"D")</f>
        <v>1</v>
      </c>
    </row>
    <row r="1480" spans="1:13" x14ac:dyDescent="0.35">
      <c r="A1480" t="s">
        <v>1895</v>
      </c>
      <c r="B1480" t="s">
        <v>1034</v>
      </c>
      <c r="C1480" t="s">
        <v>197</v>
      </c>
      <c r="D1480" s="2">
        <v>1467.27</v>
      </c>
      <c r="E1480">
        <v>5</v>
      </c>
      <c r="F1480">
        <v>0.2</v>
      </c>
      <c r="G1480" t="s">
        <v>39</v>
      </c>
      <c r="H1480" t="s">
        <v>15</v>
      </c>
      <c r="I1480" t="s">
        <v>20</v>
      </c>
      <c r="J1480" s="2">
        <f>Table1_1[[#This Row],[Sales]]-Table1_1[[#This Row],[Sales]]*Table1_1[[#This Row],[Discount]]</f>
        <v>1173.816</v>
      </c>
      <c r="K1480" s="1">
        <v>45090</v>
      </c>
      <c r="L1480" s="11">
        <v>45091</v>
      </c>
      <c r="M1480">
        <f>DATEDIF(Table1_1[[#This Row],[Order Date]],Table1_1[[#This Row],[Ship Date]],"D")</f>
        <v>1</v>
      </c>
    </row>
    <row r="1481" spans="1:13" x14ac:dyDescent="0.35">
      <c r="A1481" t="s">
        <v>1896</v>
      </c>
      <c r="B1481" t="s">
        <v>942</v>
      </c>
      <c r="C1481" t="s">
        <v>94</v>
      </c>
      <c r="D1481" s="2">
        <v>706.52</v>
      </c>
      <c r="E1481">
        <v>9</v>
      </c>
      <c r="F1481">
        <v>0.1</v>
      </c>
      <c r="G1481" t="s">
        <v>14</v>
      </c>
      <c r="H1481" t="s">
        <v>21</v>
      </c>
      <c r="I1481" t="s">
        <v>43</v>
      </c>
      <c r="J1481" s="2">
        <f>Table1_1[[#This Row],[Sales]]-Table1_1[[#This Row],[Sales]]*Table1_1[[#This Row],[Discount]]</f>
        <v>635.86799999999994</v>
      </c>
      <c r="K1481" s="1">
        <v>45546</v>
      </c>
      <c r="L1481" s="11">
        <v>45548</v>
      </c>
      <c r="M1481">
        <f>DATEDIF(Table1_1[[#This Row],[Order Date]],Table1_1[[#This Row],[Ship Date]],"D")</f>
        <v>2</v>
      </c>
    </row>
    <row r="1482" spans="1:13" x14ac:dyDescent="0.35">
      <c r="A1482" t="s">
        <v>1897</v>
      </c>
      <c r="B1482" t="s">
        <v>356</v>
      </c>
      <c r="C1482" t="s">
        <v>291</v>
      </c>
      <c r="D1482" s="2">
        <v>1700.63</v>
      </c>
      <c r="E1482">
        <v>6</v>
      </c>
      <c r="F1482">
        <v>0.1</v>
      </c>
      <c r="G1482" t="s">
        <v>19</v>
      </c>
      <c r="H1482" t="s">
        <v>15</v>
      </c>
      <c r="I1482" t="s">
        <v>20</v>
      </c>
      <c r="J1482" s="2">
        <f>Table1_1[[#This Row],[Sales]]-Table1_1[[#This Row],[Sales]]*Table1_1[[#This Row],[Discount]]</f>
        <v>1530.567</v>
      </c>
      <c r="K1482" s="1">
        <v>44957</v>
      </c>
      <c r="L1482" s="11">
        <v>44962</v>
      </c>
      <c r="M1482">
        <f>DATEDIF(Table1_1[[#This Row],[Order Date]],Table1_1[[#This Row],[Ship Date]],"D")</f>
        <v>5</v>
      </c>
    </row>
    <row r="1483" spans="1:13" x14ac:dyDescent="0.35">
      <c r="A1483" t="s">
        <v>1898</v>
      </c>
      <c r="B1483" t="s">
        <v>906</v>
      </c>
      <c r="C1483" t="s">
        <v>511</v>
      </c>
      <c r="D1483" s="2">
        <v>2007.34</v>
      </c>
      <c r="E1483">
        <v>7</v>
      </c>
      <c r="F1483">
        <v>0</v>
      </c>
      <c r="G1483" t="s">
        <v>19</v>
      </c>
      <c r="H1483" t="s">
        <v>15</v>
      </c>
      <c r="I1483" t="s">
        <v>20</v>
      </c>
      <c r="J1483" s="2">
        <f>Table1_1[[#This Row],[Sales]]-Table1_1[[#This Row],[Sales]]*Table1_1[[#This Row],[Discount]]</f>
        <v>2007.34</v>
      </c>
      <c r="K1483" s="1">
        <v>45734</v>
      </c>
      <c r="L1483" s="11">
        <v>45737</v>
      </c>
      <c r="M1483">
        <f>DATEDIF(Table1_1[[#This Row],[Order Date]],Table1_1[[#This Row],[Ship Date]],"D")</f>
        <v>3</v>
      </c>
    </row>
    <row r="1484" spans="1:13" x14ac:dyDescent="0.35">
      <c r="A1484" t="s">
        <v>1899</v>
      </c>
      <c r="B1484" t="s">
        <v>222</v>
      </c>
      <c r="C1484" t="s">
        <v>190</v>
      </c>
      <c r="D1484" s="2">
        <v>105.69</v>
      </c>
      <c r="E1484">
        <v>9</v>
      </c>
      <c r="F1484">
        <v>0.2</v>
      </c>
      <c r="G1484" t="s">
        <v>14</v>
      </c>
      <c r="H1484" t="s">
        <v>15</v>
      </c>
      <c r="I1484" t="s">
        <v>16</v>
      </c>
      <c r="J1484" s="2">
        <f>Table1_1[[#This Row],[Sales]]-Table1_1[[#This Row],[Sales]]*Table1_1[[#This Row],[Discount]]</f>
        <v>84.551999999999992</v>
      </c>
      <c r="K1484" s="1">
        <v>45314</v>
      </c>
      <c r="L1484" s="11">
        <v>45318</v>
      </c>
      <c r="M1484">
        <f>DATEDIF(Table1_1[[#This Row],[Order Date]],Table1_1[[#This Row],[Ship Date]],"D")</f>
        <v>4</v>
      </c>
    </row>
    <row r="1485" spans="1:13" x14ac:dyDescent="0.35">
      <c r="A1485" t="s">
        <v>1900</v>
      </c>
      <c r="B1485" t="s">
        <v>162</v>
      </c>
      <c r="C1485" t="s">
        <v>243</v>
      </c>
      <c r="D1485" s="2">
        <v>4358.18</v>
      </c>
      <c r="E1485">
        <v>8</v>
      </c>
      <c r="F1485">
        <v>0.1</v>
      </c>
      <c r="G1485" t="s">
        <v>14</v>
      </c>
      <c r="H1485" t="s">
        <v>15</v>
      </c>
      <c r="I1485" t="s">
        <v>43</v>
      </c>
      <c r="J1485" s="2">
        <f>Table1_1[[#This Row],[Sales]]-Table1_1[[#This Row],[Sales]]*Table1_1[[#This Row],[Discount]]</f>
        <v>3922.3620000000001</v>
      </c>
      <c r="K1485" s="1">
        <v>45420</v>
      </c>
      <c r="L1485" s="11">
        <v>45423</v>
      </c>
      <c r="M1485">
        <f>DATEDIF(Table1_1[[#This Row],[Order Date]],Table1_1[[#This Row],[Ship Date]],"D")</f>
        <v>3</v>
      </c>
    </row>
    <row r="1486" spans="1:13" x14ac:dyDescent="0.35">
      <c r="A1486" t="s">
        <v>1901</v>
      </c>
      <c r="B1486" t="s">
        <v>345</v>
      </c>
      <c r="C1486" t="s">
        <v>91</v>
      </c>
      <c r="D1486" s="2">
        <v>4070.19</v>
      </c>
      <c r="E1486">
        <v>9</v>
      </c>
      <c r="F1486">
        <v>0.1</v>
      </c>
      <c r="G1486" t="s">
        <v>39</v>
      </c>
      <c r="H1486" t="s">
        <v>21</v>
      </c>
      <c r="I1486" t="s">
        <v>20</v>
      </c>
      <c r="J1486" s="2">
        <f>Table1_1[[#This Row],[Sales]]-Table1_1[[#This Row],[Sales]]*Table1_1[[#This Row],[Discount]]</f>
        <v>3663.1710000000003</v>
      </c>
      <c r="K1486" s="1">
        <v>45366</v>
      </c>
      <c r="L1486" s="11">
        <v>45367</v>
      </c>
      <c r="M1486">
        <f>DATEDIF(Table1_1[[#This Row],[Order Date]],Table1_1[[#This Row],[Ship Date]],"D")</f>
        <v>1</v>
      </c>
    </row>
    <row r="1487" spans="1:13" x14ac:dyDescent="0.35">
      <c r="A1487" t="s">
        <v>1902</v>
      </c>
      <c r="B1487" t="s">
        <v>391</v>
      </c>
      <c r="C1487" t="s">
        <v>511</v>
      </c>
      <c r="D1487" s="2">
        <v>1096.3900000000001</v>
      </c>
      <c r="E1487">
        <v>3</v>
      </c>
      <c r="F1487">
        <v>0.1</v>
      </c>
      <c r="G1487" t="s">
        <v>14</v>
      </c>
      <c r="H1487" t="s">
        <v>21</v>
      </c>
      <c r="I1487" t="s">
        <v>20</v>
      </c>
      <c r="J1487" s="2">
        <f>Table1_1[[#This Row],[Sales]]-Table1_1[[#This Row],[Sales]]*Table1_1[[#This Row],[Discount]]</f>
        <v>986.75100000000009</v>
      </c>
      <c r="K1487" s="1">
        <v>45339</v>
      </c>
      <c r="L1487" s="11">
        <v>45346</v>
      </c>
      <c r="M1487">
        <f>DATEDIF(Table1_1[[#This Row],[Order Date]],Table1_1[[#This Row],[Ship Date]],"D")</f>
        <v>7</v>
      </c>
    </row>
    <row r="1488" spans="1:13" x14ac:dyDescent="0.35">
      <c r="A1488" t="s">
        <v>1903</v>
      </c>
      <c r="B1488" t="s">
        <v>559</v>
      </c>
      <c r="C1488" t="s">
        <v>204</v>
      </c>
      <c r="D1488" s="2">
        <v>4443.3</v>
      </c>
      <c r="E1488">
        <v>4</v>
      </c>
      <c r="F1488">
        <v>0.1</v>
      </c>
      <c r="G1488" t="s">
        <v>19</v>
      </c>
      <c r="H1488" t="s">
        <v>15</v>
      </c>
      <c r="I1488" t="s">
        <v>20</v>
      </c>
      <c r="J1488" s="2">
        <f>Table1_1[[#This Row],[Sales]]-Table1_1[[#This Row],[Sales]]*Table1_1[[#This Row],[Discount]]</f>
        <v>3998.9700000000003</v>
      </c>
      <c r="K1488" s="1">
        <v>45813</v>
      </c>
      <c r="L1488" s="11">
        <v>45814</v>
      </c>
      <c r="M1488">
        <f>DATEDIF(Table1_1[[#This Row],[Order Date]],Table1_1[[#This Row],[Ship Date]],"D")</f>
        <v>1</v>
      </c>
    </row>
    <row r="1489" spans="1:13" x14ac:dyDescent="0.35">
      <c r="A1489" t="s">
        <v>1904</v>
      </c>
      <c r="B1489" t="s">
        <v>508</v>
      </c>
      <c r="C1489" t="s">
        <v>376</v>
      </c>
      <c r="D1489" s="2">
        <v>641.53</v>
      </c>
      <c r="E1489">
        <v>10</v>
      </c>
      <c r="F1489">
        <v>0.1</v>
      </c>
      <c r="G1489" t="s">
        <v>14</v>
      </c>
      <c r="H1489" t="s">
        <v>21</v>
      </c>
      <c r="I1489" t="s">
        <v>20</v>
      </c>
      <c r="J1489" s="2">
        <f>Table1_1[[#This Row],[Sales]]-Table1_1[[#This Row],[Sales]]*Table1_1[[#This Row],[Discount]]</f>
        <v>577.37699999999995</v>
      </c>
      <c r="K1489" s="1">
        <v>45189</v>
      </c>
      <c r="L1489" s="11">
        <v>45194</v>
      </c>
      <c r="M1489">
        <f>DATEDIF(Table1_1[[#This Row],[Order Date]],Table1_1[[#This Row],[Ship Date]],"D")</f>
        <v>5</v>
      </c>
    </row>
    <row r="1490" spans="1:13" x14ac:dyDescent="0.35">
      <c r="A1490" t="s">
        <v>1905</v>
      </c>
      <c r="B1490" t="s">
        <v>588</v>
      </c>
      <c r="C1490" t="s">
        <v>384</v>
      </c>
      <c r="D1490" s="2">
        <v>2426.56</v>
      </c>
      <c r="E1490">
        <v>10</v>
      </c>
      <c r="F1490">
        <v>0</v>
      </c>
      <c r="G1490" t="s">
        <v>14</v>
      </c>
      <c r="H1490" t="s">
        <v>21</v>
      </c>
      <c r="I1490" t="s">
        <v>43</v>
      </c>
      <c r="J1490" s="2">
        <f>Table1_1[[#This Row],[Sales]]-Table1_1[[#This Row],[Sales]]*Table1_1[[#This Row],[Discount]]</f>
        <v>2426.56</v>
      </c>
      <c r="K1490" s="1">
        <v>45503</v>
      </c>
      <c r="L1490" s="11">
        <v>45508</v>
      </c>
      <c r="M1490">
        <f>DATEDIF(Table1_1[[#This Row],[Order Date]],Table1_1[[#This Row],[Ship Date]],"D")</f>
        <v>5</v>
      </c>
    </row>
    <row r="1491" spans="1:13" x14ac:dyDescent="0.35">
      <c r="A1491" t="s">
        <v>1906</v>
      </c>
      <c r="B1491" t="s">
        <v>216</v>
      </c>
      <c r="C1491" t="s">
        <v>291</v>
      </c>
      <c r="D1491" s="2">
        <v>3205.27</v>
      </c>
      <c r="E1491">
        <v>7</v>
      </c>
      <c r="F1491">
        <v>0.1</v>
      </c>
      <c r="G1491" t="s">
        <v>19</v>
      </c>
      <c r="H1491" t="s">
        <v>21</v>
      </c>
      <c r="I1491" t="s">
        <v>16</v>
      </c>
      <c r="J1491" s="2">
        <f>Table1_1[[#This Row],[Sales]]-Table1_1[[#This Row],[Sales]]*Table1_1[[#This Row],[Discount]]</f>
        <v>2884.7429999999999</v>
      </c>
      <c r="K1491" s="1">
        <v>45521</v>
      </c>
      <c r="L1491" s="11">
        <v>45524</v>
      </c>
      <c r="M1491">
        <f>DATEDIF(Table1_1[[#This Row],[Order Date]],Table1_1[[#This Row],[Ship Date]],"D")</f>
        <v>3</v>
      </c>
    </row>
    <row r="1492" spans="1:13" x14ac:dyDescent="0.35">
      <c r="A1492" t="s">
        <v>1907</v>
      </c>
      <c r="B1492" t="s">
        <v>510</v>
      </c>
      <c r="C1492" t="s">
        <v>243</v>
      </c>
      <c r="D1492" s="2">
        <v>142.16999999999999</v>
      </c>
      <c r="E1492">
        <v>3</v>
      </c>
      <c r="F1492">
        <v>0.1</v>
      </c>
      <c r="G1492" t="s">
        <v>39</v>
      </c>
      <c r="H1492" t="s">
        <v>21</v>
      </c>
      <c r="I1492" t="s">
        <v>43</v>
      </c>
      <c r="J1492" s="2">
        <f>Table1_1[[#This Row],[Sales]]-Table1_1[[#This Row],[Sales]]*Table1_1[[#This Row],[Discount]]</f>
        <v>127.95299999999999</v>
      </c>
      <c r="K1492" s="1">
        <v>45110</v>
      </c>
      <c r="L1492" s="11">
        <v>45115</v>
      </c>
      <c r="M1492">
        <f>DATEDIF(Table1_1[[#This Row],[Order Date]],Table1_1[[#This Row],[Ship Date]],"D")</f>
        <v>5</v>
      </c>
    </row>
    <row r="1493" spans="1:13" x14ac:dyDescent="0.35">
      <c r="A1493" t="s">
        <v>1908</v>
      </c>
      <c r="B1493" t="s">
        <v>817</v>
      </c>
      <c r="C1493" t="s">
        <v>214</v>
      </c>
      <c r="D1493" s="2">
        <v>773.26</v>
      </c>
      <c r="E1493">
        <v>7</v>
      </c>
      <c r="F1493">
        <v>0.2</v>
      </c>
      <c r="G1493" t="s">
        <v>14</v>
      </c>
      <c r="H1493" t="s">
        <v>15</v>
      </c>
      <c r="I1493" t="s">
        <v>20</v>
      </c>
      <c r="J1493" s="2">
        <f>Table1_1[[#This Row],[Sales]]-Table1_1[[#This Row],[Sales]]*Table1_1[[#This Row],[Discount]]</f>
        <v>618.60799999999995</v>
      </c>
      <c r="K1493" s="1">
        <v>45592</v>
      </c>
      <c r="L1493" s="11">
        <v>45594</v>
      </c>
      <c r="M1493">
        <f>DATEDIF(Table1_1[[#This Row],[Order Date]],Table1_1[[#This Row],[Ship Date]],"D")</f>
        <v>2</v>
      </c>
    </row>
    <row r="1494" spans="1:13" x14ac:dyDescent="0.35">
      <c r="A1494" t="s">
        <v>1909</v>
      </c>
      <c r="B1494" t="s">
        <v>575</v>
      </c>
      <c r="C1494" t="s">
        <v>194</v>
      </c>
      <c r="D1494" s="2">
        <v>2517.73</v>
      </c>
      <c r="E1494">
        <v>6</v>
      </c>
      <c r="F1494">
        <v>0.2</v>
      </c>
      <c r="G1494" t="s">
        <v>19</v>
      </c>
      <c r="H1494" t="s">
        <v>21</v>
      </c>
      <c r="I1494" t="s">
        <v>16</v>
      </c>
      <c r="J1494" s="2">
        <f>Table1_1[[#This Row],[Sales]]-Table1_1[[#This Row],[Sales]]*Table1_1[[#This Row],[Discount]]</f>
        <v>2014.184</v>
      </c>
      <c r="K1494" s="1">
        <v>45560</v>
      </c>
      <c r="L1494" s="11">
        <v>45562</v>
      </c>
      <c r="M1494">
        <f>DATEDIF(Table1_1[[#This Row],[Order Date]],Table1_1[[#This Row],[Ship Date]],"D")</f>
        <v>2</v>
      </c>
    </row>
    <row r="1495" spans="1:13" x14ac:dyDescent="0.35">
      <c r="A1495" t="s">
        <v>1910</v>
      </c>
      <c r="B1495" t="s">
        <v>440</v>
      </c>
      <c r="C1495" t="s">
        <v>254</v>
      </c>
      <c r="D1495" s="2">
        <v>777.25</v>
      </c>
      <c r="E1495">
        <v>1</v>
      </c>
      <c r="F1495">
        <v>0.1</v>
      </c>
      <c r="G1495" t="s">
        <v>14</v>
      </c>
      <c r="H1495" t="s">
        <v>21</v>
      </c>
      <c r="I1495" t="s">
        <v>43</v>
      </c>
      <c r="J1495" s="2">
        <f>Table1_1[[#This Row],[Sales]]-Table1_1[[#This Row],[Sales]]*Table1_1[[#This Row],[Discount]]</f>
        <v>699.52499999999998</v>
      </c>
      <c r="K1495" s="1">
        <v>45255</v>
      </c>
      <c r="L1495" s="11">
        <v>45261</v>
      </c>
      <c r="M1495">
        <f>DATEDIF(Table1_1[[#This Row],[Order Date]],Table1_1[[#This Row],[Ship Date]],"D")</f>
        <v>6</v>
      </c>
    </row>
    <row r="1496" spans="1:13" x14ac:dyDescent="0.35">
      <c r="A1496" t="s">
        <v>1911</v>
      </c>
      <c r="B1496" t="s">
        <v>650</v>
      </c>
      <c r="C1496" t="s">
        <v>595</v>
      </c>
      <c r="D1496" s="2">
        <v>1994.22</v>
      </c>
      <c r="E1496">
        <v>9</v>
      </c>
      <c r="F1496">
        <v>0.1</v>
      </c>
      <c r="G1496" t="s">
        <v>14</v>
      </c>
      <c r="H1496" t="s">
        <v>21</v>
      </c>
      <c r="I1496" t="s">
        <v>16</v>
      </c>
      <c r="J1496" s="2">
        <f>Table1_1[[#This Row],[Sales]]-Table1_1[[#This Row],[Sales]]*Table1_1[[#This Row],[Discount]]</f>
        <v>1794.798</v>
      </c>
      <c r="K1496" s="1">
        <v>45155</v>
      </c>
      <c r="L1496" s="11">
        <v>45161</v>
      </c>
      <c r="M1496">
        <f>DATEDIF(Table1_1[[#This Row],[Order Date]],Table1_1[[#This Row],[Ship Date]],"D")</f>
        <v>6</v>
      </c>
    </row>
    <row r="1497" spans="1:13" x14ac:dyDescent="0.35">
      <c r="A1497" t="s">
        <v>1912</v>
      </c>
      <c r="B1497" t="s">
        <v>514</v>
      </c>
      <c r="C1497" t="s">
        <v>135</v>
      </c>
      <c r="D1497" s="2">
        <v>1038.55</v>
      </c>
      <c r="E1497">
        <v>6</v>
      </c>
      <c r="F1497">
        <v>0.2</v>
      </c>
      <c r="G1497" t="s">
        <v>14</v>
      </c>
      <c r="H1497" t="s">
        <v>21</v>
      </c>
      <c r="I1497" t="s">
        <v>16</v>
      </c>
      <c r="J1497" s="2">
        <f>Table1_1[[#This Row],[Sales]]-Table1_1[[#This Row],[Sales]]*Table1_1[[#This Row],[Discount]]</f>
        <v>830.83999999999992</v>
      </c>
      <c r="K1497" s="1">
        <v>45725</v>
      </c>
      <c r="L1497" s="11">
        <v>45732</v>
      </c>
      <c r="M1497">
        <f>DATEDIF(Table1_1[[#This Row],[Order Date]],Table1_1[[#This Row],[Ship Date]],"D")</f>
        <v>7</v>
      </c>
    </row>
    <row r="1498" spans="1:13" x14ac:dyDescent="0.35">
      <c r="A1498" t="s">
        <v>1913</v>
      </c>
      <c r="B1498" t="s">
        <v>394</v>
      </c>
      <c r="C1498" t="s">
        <v>285</v>
      </c>
      <c r="D1498" s="2">
        <v>3743.11</v>
      </c>
      <c r="E1498">
        <v>2</v>
      </c>
      <c r="F1498">
        <v>0</v>
      </c>
      <c r="G1498" t="s">
        <v>39</v>
      </c>
      <c r="H1498" t="s">
        <v>15</v>
      </c>
      <c r="I1498" t="s">
        <v>20</v>
      </c>
      <c r="J1498" s="2">
        <f>Table1_1[[#This Row],[Sales]]-Table1_1[[#This Row],[Sales]]*Table1_1[[#This Row],[Discount]]</f>
        <v>3743.11</v>
      </c>
      <c r="K1498" s="1">
        <v>45219</v>
      </c>
      <c r="L1498" s="11">
        <v>45222</v>
      </c>
      <c r="M1498">
        <f>DATEDIF(Table1_1[[#This Row],[Order Date]],Table1_1[[#This Row],[Ship Date]],"D")</f>
        <v>3</v>
      </c>
    </row>
    <row r="1499" spans="1:13" x14ac:dyDescent="0.35">
      <c r="A1499" t="s">
        <v>1914</v>
      </c>
      <c r="B1499" t="s">
        <v>486</v>
      </c>
      <c r="C1499" t="s">
        <v>376</v>
      </c>
      <c r="D1499" s="2">
        <v>863.74</v>
      </c>
      <c r="E1499">
        <v>1</v>
      </c>
      <c r="F1499">
        <v>0.3</v>
      </c>
      <c r="G1499" t="s">
        <v>14</v>
      </c>
      <c r="H1499" t="s">
        <v>15</v>
      </c>
      <c r="I1499" t="s">
        <v>43</v>
      </c>
      <c r="J1499" s="2">
        <f>Table1_1[[#This Row],[Sales]]-Table1_1[[#This Row],[Sales]]*Table1_1[[#This Row],[Discount]]</f>
        <v>604.61799999999994</v>
      </c>
      <c r="K1499" s="1">
        <v>45733</v>
      </c>
      <c r="L1499" s="11">
        <v>45736</v>
      </c>
      <c r="M1499">
        <f>DATEDIF(Table1_1[[#This Row],[Order Date]],Table1_1[[#This Row],[Ship Date]],"D")</f>
        <v>3</v>
      </c>
    </row>
    <row r="1500" spans="1:13" x14ac:dyDescent="0.35">
      <c r="A1500" t="s">
        <v>1915</v>
      </c>
      <c r="B1500" t="s">
        <v>434</v>
      </c>
      <c r="C1500" t="s">
        <v>46</v>
      </c>
      <c r="D1500" s="2">
        <v>3508.38</v>
      </c>
      <c r="E1500">
        <v>5</v>
      </c>
      <c r="F1500">
        <v>0.3</v>
      </c>
      <c r="G1500" t="s">
        <v>14</v>
      </c>
      <c r="H1500" t="s">
        <v>15</v>
      </c>
      <c r="I1500" t="s">
        <v>43</v>
      </c>
      <c r="J1500" s="2">
        <f>Table1_1[[#This Row],[Sales]]-Table1_1[[#This Row],[Sales]]*Table1_1[[#This Row],[Discount]]</f>
        <v>2455.866</v>
      </c>
      <c r="K1500" s="1">
        <v>45131</v>
      </c>
      <c r="L1500" s="11">
        <v>45135</v>
      </c>
      <c r="M1500">
        <f>DATEDIF(Table1_1[[#This Row],[Order Date]],Table1_1[[#This Row],[Ship Date]],"D")</f>
        <v>4</v>
      </c>
    </row>
    <row r="1501" spans="1:13" x14ac:dyDescent="0.35">
      <c r="A1501" t="s">
        <v>1916</v>
      </c>
      <c r="B1501" t="s">
        <v>998</v>
      </c>
      <c r="C1501" t="s">
        <v>99</v>
      </c>
      <c r="D1501" s="2">
        <v>3364.57</v>
      </c>
      <c r="E1501">
        <v>8</v>
      </c>
      <c r="F1501">
        <v>0.2</v>
      </c>
      <c r="G1501" t="s">
        <v>14</v>
      </c>
      <c r="H1501" t="s">
        <v>15</v>
      </c>
      <c r="I1501" t="s">
        <v>43</v>
      </c>
      <c r="J1501" s="2">
        <f>Table1_1[[#This Row],[Sales]]-Table1_1[[#This Row],[Sales]]*Table1_1[[#This Row],[Discount]]</f>
        <v>2691.6559999999999</v>
      </c>
      <c r="K1501" s="1">
        <v>45808</v>
      </c>
      <c r="L1501" s="11">
        <v>45809</v>
      </c>
      <c r="M1501">
        <f>DATEDIF(Table1_1[[#This Row],[Order Date]],Table1_1[[#This Row],[Ship Date]],"D")</f>
        <v>1</v>
      </c>
    </row>
    <row r="1502" spans="1:13" x14ac:dyDescent="0.35">
      <c r="A1502" t="s">
        <v>1917</v>
      </c>
      <c r="B1502" t="s">
        <v>96</v>
      </c>
      <c r="C1502" t="s">
        <v>91</v>
      </c>
      <c r="D1502" s="2">
        <v>3297.07</v>
      </c>
      <c r="E1502">
        <v>5</v>
      </c>
      <c r="F1502">
        <v>0.3</v>
      </c>
      <c r="G1502" t="s">
        <v>14</v>
      </c>
      <c r="H1502" t="s">
        <v>15</v>
      </c>
      <c r="I1502" t="s">
        <v>43</v>
      </c>
      <c r="J1502" s="2">
        <f>Table1_1[[#This Row],[Sales]]-Table1_1[[#This Row],[Sales]]*Table1_1[[#This Row],[Discount]]</f>
        <v>2307.9490000000001</v>
      </c>
      <c r="K1502" s="1">
        <v>44993</v>
      </c>
      <c r="L1502" s="11">
        <v>45000</v>
      </c>
      <c r="M1502">
        <f>DATEDIF(Table1_1[[#This Row],[Order Date]],Table1_1[[#This Row],[Ship Date]],"D")</f>
        <v>7</v>
      </c>
    </row>
    <row r="1503" spans="1:13" x14ac:dyDescent="0.35">
      <c r="A1503" t="s">
        <v>1918</v>
      </c>
      <c r="B1503" t="s">
        <v>597</v>
      </c>
      <c r="C1503" t="s">
        <v>13</v>
      </c>
      <c r="D1503" s="2">
        <v>4828.18</v>
      </c>
      <c r="E1503">
        <v>10</v>
      </c>
      <c r="F1503">
        <v>0.1</v>
      </c>
      <c r="G1503" t="s">
        <v>39</v>
      </c>
      <c r="H1503" t="s">
        <v>21</v>
      </c>
      <c r="I1503" t="s">
        <v>16</v>
      </c>
      <c r="J1503" s="2">
        <f>Table1_1[[#This Row],[Sales]]-Table1_1[[#This Row],[Sales]]*Table1_1[[#This Row],[Discount]]</f>
        <v>4345.3620000000001</v>
      </c>
      <c r="K1503" s="1">
        <v>45553</v>
      </c>
      <c r="L1503" s="11">
        <v>45554</v>
      </c>
      <c r="M1503">
        <f>DATEDIF(Table1_1[[#This Row],[Order Date]],Table1_1[[#This Row],[Ship Date]],"D")</f>
        <v>1</v>
      </c>
    </row>
    <row r="1504" spans="1:13" x14ac:dyDescent="0.35">
      <c r="A1504" t="s">
        <v>1919</v>
      </c>
      <c r="B1504" t="s">
        <v>303</v>
      </c>
      <c r="C1504" t="s">
        <v>310</v>
      </c>
      <c r="D1504" s="2">
        <v>2728.35</v>
      </c>
      <c r="E1504">
        <v>10</v>
      </c>
      <c r="F1504">
        <v>0.1</v>
      </c>
      <c r="G1504" t="s">
        <v>14</v>
      </c>
      <c r="H1504" t="s">
        <v>15</v>
      </c>
      <c r="I1504" t="s">
        <v>20</v>
      </c>
      <c r="J1504" s="2">
        <f>Table1_1[[#This Row],[Sales]]-Table1_1[[#This Row],[Sales]]*Table1_1[[#This Row],[Discount]]</f>
        <v>2455.5149999999999</v>
      </c>
      <c r="K1504" s="1">
        <v>45438</v>
      </c>
      <c r="L1504" s="11">
        <v>45444</v>
      </c>
      <c r="M1504">
        <f>DATEDIF(Table1_1[[#This Row],[Order Date]],Table1_1[[#This Row],[Ship Date]],"D")</f>
        <v>6</v>
      </c>
    </row>
    <row r="1505" spans="1:13" x14ac:dyDescent="0.35">
      <c r="A1505" t="s">
        <v>1920</v>
      </c>
      <c r="B1505" t="s">
        <v>295</v>
      </c>
      <c r="C1505" t="s">
        <v>42</v>
      </c>
      <c r="D1505" s="2">
        <v>3121.96</v>
      </c>
      <c r="E1505">
        <v>10</v>
      </c>
      <c r="F1505">
        <v>0.2</v>
      </c>
      <c r="G1505" t="s">
        <v>39</v>
      </c>
      <c r="H1505" t="s">
        <v>15</v>
      </c>
      <c r="I1505" t="s">
        <v>20</v>
      </c>
      <c r="J1505" s="2">
        <f>Table1_1[[#This Row],[Sales]]-Table1_1[[#This Row],[Sales]]*Table1_1[[#This Row],[Discount]]</f>
        <v>2497.5680000000002</v>
      </c>
      <c r="K1505" s="1">
        <v>45148</v>
      </c>
      <c r="L1505" s="11">
        <v>45152</v>
      </c>
      <c r="M1505">
        <f>DATEDIF(Table1_1[[#This Row],[Order Date]],Table1_1[[#This Row],[Ship Date]],"D")</f>
        <v>4</v>
      </c>
    </row>
    <row r="1506" spans="1:13" x14ac:dyDescent="0.35">
      <c r="A1506" t="s">
        <v>1921</v>
      </c>
      <c r="B1506" t="s">
        <v>104</v>
      </c>
      <c r="C1506" t="s">
        <v>128</v>
      </c>
      <c r="D1506" s="2">
        <v>4889.25</v>
      </c>
      <c r="E1506">
        <v>3</v>
      </c>
      <c r="F1506">
        <v>0.2</v>
      </c>
      <c r="G1506" t="s">
        <v>14</v>
      </c>
      <c r="H1506" t="s">
        <v>21</v>
      </c>
      <c r="I1506" t="s">
        <v>16</v>
      </c>
      <c r="J1506" s="2">
        <f>Table1_1[[#This Row],[Sales]]-Table1_1[[#This Row],[Sales]]*Table1_1[[#This Row],[Discount]]</f>
        <v>3911.4</v>
      </c>
      <c r="K1506" s="1">
        <v>44996</v>
      </c>
      <c r="L1506" s="11">
        <v>44997</v>
      </c>
      <c r="M1506">
        <f>DATEDIF(Table1_1[[#This Row],[Order Date]],Table1_1[[#This Row],[Ship Date]],"D")</f>
        <v>1</v>
      </c>
    </row>
    <row r="1507" spans="1:13" x14ac:dyDescent="0.35">
      <c r="A1507" t="s">
        <v>1922</v>
      </c>
      <c r="B1507" t="s">
        <v>331</v>
      </c>
      <c r="C1507" t="s">
        <v>229</v>
      </c>
      <c r="D1507" s="2">
        <v>393.42</v>
      </c>
      <c r="E1507">
        <v>8</v>
      </c>
      <c r="F1507">
        <v>0.3</v>
      </c>
      <c r="G1507" t="s">
        <v>14</v>
      </c>
      <c r="H1507" t="s">
        <v>21</v>
      </c>
      <c r="I1507" t="s">
        <v>43</v>
      </c>
      <c r="J1507" s="2">
        <f>Table1_1[[#This Row],[Sales]]-Table1_1[[#This Row],[Sales]]*Table1_1[[#This Row],[Discount]]</f>
        <v>275.39400000000001</v>
      </c>
      <c r="K1507" s="1">
        <v>45428</v>
      </c>
      <c r="L1507" s="11">
        <v>45430</v>
      </c>
      <c r="M1507">
        <f>DATEDIF(Table1_1[[#This Row],[Order Date]],Table1_1[[#This Row],[Ship Date]],"D")</f>
        <v>2</v>
      </c>
    </row>
    <row r="1508" spans="1:13" x14ac:dyDescent="0.35">
      <c r="A1508" t="s">
        <v>1923</v>
      </c>
      <c r="B1508" t="s">
        <v>93</v>
      </c>
      <c r="C1508" t="s">
        <v>178</v>
      </c>
      <c r="D1508" s="2">
        <v>210.73</v>
      </c>
      <c r="E1508">
        <v>6</v>
      </c>
      <c r="F1508">
        <v>0.1</v>
      </c>
      <c r="G1508" t="s">
        <v>14</v>
      </c>
      <c r="H1508" t="s">
        <v>15</v>
      </c>
      <c r="I1508" t="s">
        <v>20</v>
      </c>
      <c r="J1508" s="2">
        <f>Table1_1[[#This Row],[Sales]]-Table1_1[[#This Row],[Sales]]*Table1_1[[#This Row],[Discount]]</f>
        <v>189.65699999999998</v>
      </c>
      <c r="K1508" s="1">
        <v>45662</v>
      </c>
      <c r="L1508" s="11">
        <v>45669</v>
      </c>
      <c r="M1508">
        <f>DATEDIF(Table1_1[[#This Row],[Order Date]],Table1_1[[#This Row],[Ship Date]],"D")</f>
        <v>7</v>
      </c>
    </row>
    <row r="1509" spans="1:13" x14ac:dyDescent="0.35">
      <c r="A1509" t="s">
        <v>1924</v>
      </c>
      <c r="B1509" t="s">
        <v>1083</v>
      </c>
      <c r="C1509" t="s">
        <v>436</v>
      </c>
      <c r="D1509" s="2">
        <v>3603.66</v>
      </c>
      <c r="E1509">
        <v>2</v>
      </c>
      <c r="F1509">
        <v>0.2</v>
      </c>
      <c r="G1509" t="s">
        <v>39</v>
      </c>
      <c r="H1509" t="s">
        <v>21</v>
      </c>
      <c r="I1509" t="s">
        <v>16</v>
      </c>
      <c r="J1509" s="2">
        <f>Table1_1[[#This Row],[Sales]]-Table1_1[[#This Row],[Sales]]*Table1_1[[#This Row],[Discount]]</f>
        <v>2882.9279999999999</v>
      </c>
      <c r="K1509" s="1">
        <v>45070</v>
      </c>
      <c r="L1509" s="11">
        <v>45073</v>
      </c>
      <c r="M1509">
        <f>DATEDIF(Table1_1[[#This Row],[Order Date]],Table1_1[[#This Row],[Ship Date]],"D")</f>
        <v>3</v>
      </c>
    </row>
    <row r="1510" spans="1:13" x14ac:dyDescent="0.35">
      <c r="A1510" t="s">
        <v>1925</v>
      </c>
      <c r="B1510" t="s">
        <v>288</v>
      </c>
      <c r="C1510" t="s">
        <v>359</v>
      </c>
      <c r="D1510" s="2">
        <v>3582.01</v>
      </c>
      <c r="E1510">
        <v>7</v>
      </c>
      <c r="F1510">
        <v>0.2</v>
      </c>
      <c r="G1510" t="s">
        <v>14</v>
      </c>
      <c r="H1510" t="s">
        <v>15</v>
      </c>
      <c r="I1510" t="s">
        <v>20</v>
      </c>
      <c r="J1510" s="2">
        <f>Table1_1[[#This Row],[Sales]]-Table1_1[[#This Row],[Sales]]*Table1_1[[#This Row],[Discount]]</f>
        <v>2865.6080000000002</v>
      </c>
      <c r="K1510" s="1">
        <v>45818</v>
      </c>
      <c r="L1510" s="11">
        <v>45822</v>
      </c>
      <c r="M1510">
        <f>DATEDIF(Table1_1[[#This Row],[Order Date]],Table1_1[[#This Row],[Ship Date]],"D")</f>
        <v>4</v>
      </c>
    </row>
    <row r="1511" spans="1:13" x14ac:dyDescent="0.35">
      <c r="A1511" t="s">
        <v>1926</v>
      </c>
      <c r="B1511" t="s">
        <v>438</v>
      </c>
      <c r="C1511" t="s">
        <v>91</v>
      </c>
      <c r="D1511" s="2">
        <v>4860.18</v>
      </c>
      <c r="E1511">
        <v>10</v>
      </c>
      <c r="F1511">
        <v>0</v>
      </c>
      <c r="G1511" t="s">
        <v>19</v>
      </c>
      <c r="H1511" t="s">
        <v>15</v>
      </c>
      <c r="I1511" t="s">
        <v>16</v>
      </c>
      <c r="J1511" s="2">
        <f>Table1_1[[#This Row],[Sales]]-Table1_1[[#This Row],[Sales]]*Table1_1[[#This Row],[Discount]]</f>
        <v>4860.18</v>
      </c>
      <c r="K1511" s="1">
        <v>45150</v>
      </c>
      <c r="L1511" s="11">
        <v>45154</v>
      </c>
      <c r="M1511">
        <f>DATEDIF(Table1_1[[#This Row],[Order Date]],Table1_1[[#This Row],[Ship Date]],"D")</f>
        <v>4</v>
      </c>
    </row>
    <row r="1512" spans="1:13" x14ac:dyDescent="0.35">
      <c r="A1512" t="s">
        <v>1927</v>
      </c>
      <c r="B1512" t="s">
        <v>250</v>
      </c>
      <c r="C1512" t="s">
        <v>223</v>
      </c>
      <c r="D1512" s="2">
        <v>2574.5</v>
      </c>
      <c r="E1512">
        <v>1</v>
      </c>
      <c r="F1512">
        <v>0.1</v>
      </c>
      <c r="G1512" t="s">
        <v>19</v>
      </c>
      <c r="H1512" t="s">
        <v>15</v>
      </c>
      <c r="I1512" t="s">
        <v>43</v>
      </c>
      <c r="J1512" s="2">
        <f>Table1_1[[#This Row],[Sales]]-Table1_1[[#This Row],[Sales]]*Table1_1[[#This Row],[Discount]]</f>
        <v>2317.0500000000002</v>
      </c>
      <c r="K1512" s="1">
        <v>45096</v>
      </c>
      <c r="L1512" s="11">
        <v>45101</v>
      </c>
      <c r="M1512">
        <f>DATEDIF(Table1_1[[#This Row],[Order Date]],Table1_1[[#This Row],[Ship Date]],"D")</f>
        <v>5</v>
      </c>
    </row>
    <row r="1513" spans="1:13" x14ac:dyDescent="0.35">
      <c r="A1513" t="s">
        <v>1928</v>
      </c>
      <c r="B1513" t="s">
        <v>250</v>
      </c>
      <c r="C1513" t="s">
        <v>113</v>
      </c>
      <c r="D1513" s="2">
        <v>4652.04</v>
      </c>
      <c r="E1513">
        <v>8</v>
      </c>
      <c r="F1513">
        <v>0.3</v>
      </c>
      <c r="G1513" t="s">
        <v>14</v>
      </c>
      <c r="H1513" t="s">
        <v>15</v>
      </c>
      <c r="I1513" t="s">
        <v>20</v>
      </c>
      <c r="J1513" s="2">
        <f>Table1_1[[#This Row],[Sales]]-Table1_1[[#This Row],[Sales]]*Table1_1[[#This Row],[Discount]]</f>
        <v>3256.4279999999999</v>
      </c>
      <c r="K1513" s="1">
        <v>45268</v>
      </c>
      <c r="L1513" s="11">
        <v>45270</v>
      </c>
      <c r="M1513">
        <f>DATEDIF(Table1_1[[#This Row],[Order Date]],Table1_1[[#This Row],[Ship Date]],"D")</f>
        <v>2</v>
      </c>
    </row>
    <row r="1514" spans="1:13" x14ac:dyDescent="0.35">
      <c r="A1514" t="s">
        <v>1929</v>
      </c>
      <c r="B1514" t="s">
        <v>48</v>
      </c>
      <c r="C1514" t="s">
        <v>281</v>
      </c>
      <c r="D1514" s="2">
        <v>1318.83</v>
      </c>
      <c r="E1514">
        <v>7</v>
      </c>
      <c r="F1514">
        <v>0.3</v>
      </c>
      <c r="G1514" t="s">
        <v>14</v>
      </c>
      <c r="H1514" t="s">
        <v>15</v>
      </c>
      <c r="I1514" t="s">
        <v>16</v>
      </c>
      <c r="J1514" s="2">
        <f>Table1_1[[#This Row],[Sales]]-Table1_1[[#This Row],[Sales]]*Table1_1[[#This Row],[Discount]]</f>
        <v>923.18100000000004</v>
      </c>
      <c r="K1514" s="1">
        <v>44978</v>
      </c>
      <c r="L1514" s="11">
        <v>44983</v>
      </c>
      <c r="M1514">
        <f>DATEDIF(Table1_1[[#This Row],[Order Date]],Table1_1[[#This Row],[Ship Date]],"D")</f>
        <v>5</v>
      </c>
    </row>
    <row r="1515" spans="1:13" x14ac:dyDescent="0.35">
      <c r="A1515" t="s">
        <v>1930</v>
      </c>
      <c r="B1515" t="s">
        <v>314</v>
      </c>
      <c r="C1515" t="s">
        <v>113</v>
      </c>
      <c r="D1515" s="2">
        <v>806.54</v>
      </c>
      <c r="E1515">
        <v>2</v>
      </c>
      <c r="F1515">
        <v>0.1</v>
      </c>
      <c r="G1515" t="s">
        <v>14</v>
      </c>
      <c r="H1515" t="s">
        <v>21</v>
      </c>
      <c r="I1515" t="s">
        <v>43</v>
      </c>
      <c r="J1515" s="2">
        <f>Table1_1[[#This Row],[Sales]]-Table1_1[[#This Row],[Sales]]*Table1_1[[#This Row],[Discount]]</f>
        <v>725.88599999999997</v>
      </c>
      <c r="K1515" s="1">
        <v>45796</v>
      </c>
      <c r="L1515" s="11">
        <v>45802</v>
      </c>
      <c r="M1515">
        <f>DATEDIF(Table1_1[[#This Row],[Order Date]],Table1_1[[#This Row],[Ship Date]],"D")</f>
        <v>6</v>
      </c>
    </row>
    <row r="1516" spans="1:13" x14ac:dyDescent="0.35">
      <c r="A1516" t="s">
        <v>1931</v>
      </c>
      <c r="B1516" t="s">
        <v>840</v>
      </c>
      <c r="C1516" t="s">
        <v>595</v>
      </c>
      <c r="D1516" s="2">
        <v>1881.37</v>
      </c>
      <c r="E1516">
        <v>9</v>
      </c>
      <c r="F1516">
        <v>0.1</v>
      </c>
      <c r="G1516" t="s">
        <v>39</v>
      </c>
      <c r="H1516" t="s">
        <v>15</v>
      </c>
      <c r="I1516" t="s">
        <v>20</v>
      </c>
      <c r="J1516" s="2">
        <f>Table1_1[[#This Row],[Sales]]-Table1_1[[#This Row],[Sales]]*Table1_1[[#This Row],[Discount]]</f>
        <v>1693.2329999999999</v>
      </c>
      <c r="K1516" s="1">
        <v>45518</v>
      </c>
      <c r="L1516" s="11">
        <v>45519</v>
      </c>
      <c r="M1516">
        <f>DATEDIF(Table1_1[[#This Row],[Order Date]],Table1_1[[#This Row],[Ship Date]],"D")</f>
        <v>1</v>
      </c>
    </row>
    <row r="1517" spans="1:13" x14ac:dyDescent="0.35">
      <c r="A1517" t="s">
        <v>1932</v>
      </c>
      <c r="B1517" t="s">
        <v>699</v>
      </c>
      <c r="C1517" t="s">
        <v>268</v>
      </c>
      <c r="D1517" s="2">
        <v>3701.67</v>
      </c>
      <c r="E1517">
        <v>10</v>
      </c>
      <c r="F1517">
        <v>0.1</v>
      </c>
      <c r="G1517" t="s">
        <v>19</v>
      </c>
      <c r="H1517" t="s">
        <v>15</v>
      </c>
      <c r="I1517" t="s">
        <v>16</v>
      </c>
      <c r="J1517" s="2">
        <f>Table1_1[[#This Row],[Sales]]-Table1_1[[#This Row],[Sales]]*Table1_1[[#This Row],[Discount]]</f>
        <v>3331.5030000000002</v>
      </c>
      <c r="K1517" s="1">
        <v>45345</v>
      </c>
      <c r="L1517" s="11">
        <v>45346</v>
      </c>
      <c r="M1517">
        <f>DATEDIF(Table1_1[[#This Row],[Order Date]],Table1_1[[#This Row],[Ship Date]],"D")</f>
        <v>1</v>
      </c>
    </row>
    <row r="1518" spans="1:13" x14ac:dyDescent="0.35">
      <c r="A1518" t="s">
        <v>1933</v>
      </c>
      <c r="B1518" t="s">
        <v>156</v>
      </c>
      <c r="C1518" t="s">
        <v>262</v>
      </c>
      <c r="D1518" s="2">
        <v>1634.39</v>
      </c>
      <c r="E1518">
        <v>5</v>
      </c>
      <c r="F1518">
        <v>0.1</v>
      </c>
      <c r="G1518" t="s">
        <v>39</v>
      </c>
      <c r="H1518" t="s">
        <v>15</v>
      </c>
      <c r="I1518" t="s">
        <v>20</v>
      </c>
      <c r="J1518" s="2">
        <f>Table1_1[[#This Row],[Sales]]-Table1_1[[#This Row],[Sales]]*Table1_1[[#This Row],[Discount]]</f>
        <v>1470.951</v>
      </c>
      <c r="K1518" s="1">
        <v>45595</v>
      </c>
      <c r="L1518" s="11">
        <v>45601</v>
      </c>
      <c r="M1518">
        <f>DATEDIF(Table1_1[[#This Row],[Order Date]],Table1_1[[#This Row],[Ship Date]],"D")</f>
        <v>6</v>
      </c>
    </row>
    <row r="1519" spans="1:13" x14ac:dyDescent="0.35">
      <c r="A1519" t="s">
        <v>1934</v>
      </c>
      <c r="B1519" t="s">
        <v>657</v>
      </c>
      <c r="C1519" t="s">
        <v>293</v>
      </c>
      <c r="D1519" s="2">
        <v>1972.01</v>
      </c>
      <c r="E1519">
        <v>10</v>
      </c>
      <c r="F1519">
        <v>0</v>
      </c>
      <c r="G1519" t="s">
        <v>19</v>
      </c>
      <c r="H1519" t="s">
        <v>15</v>
      </c>
      <c r="I1519" t="s">
        <v>43</v>
      </c>
      <c r="J1519" s="2">
        <f>Table1_1[[#This Row],[Sales]]-Table1_1[[#This Row],[Sales]]*Table1_1[[#This Row],[Discount]]</f>
        <v>1972.01</v>
      </c>
      <c r="K1519" s="1">
        <v>45545</v>
      </c>
      <c r="L1519" s="11">
        <v>45546</v>
      </c>
      <c r="M1519">
        <f>DATEDIF(Table1_1[[#This Row],[Order Date]],Table1_1[[#This Row],[Ship Date]],"D")</f>
        <v>1</v>
      </c>
    </row>
    <row r="1520" spans="1:13" x14ac:dyDescent="0.35">
      <c r="A1520" t="s">
        <v>1935</v>
      </c>
      <c r="B1520" t="s">
        <v>817</v>
      </c>
      <c r="C1520" t="s">
        <v>68</v>
      </c>
      <c r="D1520" s="2">
        <v>3106.74</v>
      </c>
      <c r="E1520">
        <v>10</v>
      </c>
      <c r="F1520">
        <v>0.3</v>
      </c>
      <c r="G1520" t="s">
        <v>39</v>
      </c>
      <c r="H1520" t="s">
        <v>21</v>
      </c>
      <c r="I1520" t="s">
        <v>20</v>
      </c>
      <c r="J1520" s="2">
        <f>Table1_1[[#This Row],[Sales]]-Table1_1[[#This Row],[Sales]]*Table1_1[[#This Row],[Discount]]</f>
        <v>2174.7179999999998</v>
      </c>
      <c r="K1520" s="1">
        <v>45596</v>
      </c>
      <c r="L1520" s="11">
        <v>45603</v>
      </c>
      <c r="M1520">
        <f>DATEDIF(Table1_1[[#This Row],[Order Date]],Table1_1[[#This Row],[Ship Date]],"D")</f>
        <v>7</v>
      </c>
    </row>
    <row r="1521" spans="1:13" x14ac:dyDescent="0.35">
      <c r="A1521" t="s">
        <v>1936</v>
      </c>
      <c r="B1521" t="s">
        <v>691</v>
      </c>
      <c r="C1521" t="s">
        <v>336</v>
      </c>
      <c r="D1521" s="2">
        <v>2262.4299999999998</v>
      </c>
      <c r="E1521">
        <v>10</v>
      </c>
      <c r="F1521">
        <v>0.1</v>
      </c>
      <c r="G1521" t="s">
        <v>39</v>
      </c>
      <c r="H1521" t="s">
        <v>15</v>
      </c>
      <c r="I1521" t="s">
        <v>43</v>
      </c>
      <c r="J1521" s="2">
        <f>Table1_1[[#This Row],[Sales]]-Table1_1[[#This Row],[Sales]]*Table1_1[[#This Row],[Discount]]</f>
        <v>2036.1869999999999</v>
      </c>
      <c r="K1521" s="1">
        <v>45550</v>
      </c>
      <c r="L1521" s="11">
        <v>45557</v>
      </c>
      <c r="M1521">
        <f>DATEDIF(Table1_1[[#This Row],[Order Date]],Table1_1[[#This Row],[Ship Date]],"D")</f>
        <v>7</v>
      </c>
    </row>
    <row r="1522" spans="1:13" x14ac:dyDescent="0.35">
      <c r="A1522" t="s">
        <v>1937</v>
      </c>
      <c r="B1522" t="s">
        <v>791</v>
      </c>
      <c r="C1522" t="s">
        <v>135</v>
      </c>
      <c r="D1522" s="2">
        <v>1760.64</v>
      </c>
      <c r="E1522">
        <v>2</v>
      </c>
      <c r="F1522">
        <v>0.3</v>
      </c>
      <c r="G1522" t="s">
        <v>14</v>
      </c>
      <c r="H1522" t="s">
        <v>21</v>
      </c>
      <c r="I1522" t="s">
        <v>16</v>
      </c>
      <c r="J1522" s="2">
        <f>Table1_1[[#This Row],[Sales]]-Table1_1[[#This Row],[Sales]]*Table1_1[[#This Row],[Discount]]</f>
        <v>1232.4480000000001</v>
      </c>
      <c r="K1522" s="1">
        <v>45306</v>
      </c>
      <c r="L1522" s="11">
        <v>45307</v>
      </c>
      <c r="M1522">
        <f>DATEDIF(Table1_1[[#This Row],[Order Date]],Table1_1[[#This Row],[Ship Date]],"D")</f>
        <v>1</v>
      </c>
    </row>
    <row r="1523" spans="1:13" x14ac:dyDescent="0.35">
      <c r="A1523" t="s">
        <v>1938</v>
      </c>
      <c r="B1523" t="s">
        <v>1248</v>
      </c>
      <c r="C1523" t="s">
        <v>408</v>
      </c>
      <c r="D1523" s="2">
        <v>2643.95</v>
      </c>
      <c r="E1523">
        <v>8</v>
      </c>
      <c r="F1523">
        <v>0.1</v>
      </c>
      <c r="G1523" t="s">
        <v>39</v>
      </c>
      <c r="H1523" t="s">
        <v>15</v>
      </c>
      <c r="I1523" t="s">
        <v>16</v>
      </c>
      <c r="J1523" s="2">
        <f>Table1_1[[#This Row],[Sales]]-Table1_1[[#This Row],[Sales]]*Table1_1[[#This Row],[Discount]]</f>
        <v>2379.5549999999998</v>
      </c>
      <c r="K1523" s="1">
        <v>45462</v>
      </c>
      <c r="L1523" s="11">
        <v>45468</v>
      </c>
      <c r="M1523">
        <f>DATEDIF(Table1_1[[#This Row],[Order Date]],Table1_1[[#This Row],[Ship Date]],"D")</f>
        <v>6</v>
      </c>
    </row>
    <row r="1524" spans="1:13" x14ac:dyDescent="0.35">
      <c r="A1524" t="s">
        <v>1939</v>
      </c>
      <c r="B1524" t="s">
        <v>670</v>
      </c>
      <c r="C1524" t="s">
        <v>143</v>
      </c>
      <c r="D1524" s="2">
        <v>3019.15</v>
      </c>
      <c r="E1524">
        <v>9</v>
      </c>
      <c r="F1524">
        <v>0.1</v>
      </c>
      <c r="G1524" t="s">
        <v>19</v>
      </c>
      <c r="H1524" t="s">
        <v>15</v>
      </c>
      <c r="I1524" t="s">
        <v>16</v>
      </c>
      <c r="J1524" s="2">
        <f>Table1_1[[#This Row],[Sales]]-Table1_1[[#This Row],[Sales]]*Table1_1[[#This Row],[Discount]]</f>
        <v>2717.2350000000001</v>
      </c>
      <c r="K1524" s="1">
        <v>45495</v>
      </c>
      <c r="L1524" s="11">
        <v>45496</v>
      </c>
      <c r="M1524">
        <f>DATEDIF(Table1_1[[#This Row],[Order Date]],Table1_1[[#This Row],[Ship Date]],"D")</f>
        <v>1</v>
      </c>
    </row>
    <row r="1525" spans="1:13" x14ac:dyDescent="0.35">
      <c r="A1525" t="s">
        <v>1940</v>
      </c>
      <c r="B1525" t="s">
        <v>535</v>
      </c>
      <c r="C1525" t="s">
        <v>143</v>
      </c>
      <c r="D1525" s="2">
        <v>1540.37</v>
      </c>
      <c r="E1525">
        <v>3</v>
      </c>
      <c r="F1525">
        <v>0</v>
      </c>
      <c r="G1525" t="s">
        <v>14</v>
      </c>
      <c r="H1525" t="s">
        <v>15</v>
      </c>
      <c r="I1525" t="s">
        <v>20</v>
      </c>
      <c r="J1525" s="2">
        <f>Table1_1[[#This Row],[Sales]]-Table1_1[[#This Row],[Sales]]*Table1_1[[#This Row],[Discount]]</f>
        <v>1540.37</v>
      </c>
      <c r="K1525" s="1">
        <v>45074</v>
      </c>
      <c r="L1525" s="11">
        <v>45075</v>
      </c>
      <c r="M1525">
        <f>DATEDIF(Table1_1[[#This Row],[Order Date]],Table1_1[[#This Row],[Ship Date]],"D")</f>
        <v>1</v>
      </c>
    </row>
    <row r="1526" spans="1:13" x14ac:dyDescent="0.35">
      <c r="A1526" t="s">
        <v>1941</v>
      </c>
      <c r="B1526" t="s">
        <v>340</v>
      </c>
      <c r="C1526" t="s">
        <v>157</v>
      </c>
      <c r="D1526" s="2">
        <v>1794.45</v>
      </c>
      <c r="E1526">
        <v>7</v>
      </c>
      <c r="F1526">
        <v>0.2</v>
      </c>
      <c r="G1526" t="s">
        <v>14</v>
      </c>
      <c r="H1526" t="s">
        <v>21</v>
      </c>
      <c r="I1526" t="s">
        <v>20</v>
      </c>
      <c r="J1526" s="2">
        <f>Table1_1[[#This Row],[Sales]]-Table1_1[[#This Row],[Sales]]*Table1_1[[#This Row],[Discount]]</f>
        <v>1435.56</v>
      </c>
      <c r="K1526" s="1">
        <v>45363</v>
      </c>
      <c r="L1526" s="11">
        <v>45369</v>
      </c>
      <c r="M1526">
        <f>DATEDIF(Table1_1[[#This Row],[Order Date]],Table1_1[[#This Row],[Ship Date]],"D")</f>
        <v>6</v>
      </c>
    </row>
    <row r="1527" spans="1:13" x14ac:dyDescent="0.35">
      <c r="A1527" t="s">
        <v>1942</v>
      </c>
      <c r="B1527" t="s">
        <v>151</v>
      </c>
      <c r="C1527" t="s">
        <v>273</v>
      </c>
      <c r="D1527" s="2">
        <v>258.01</v>
      </c>
      <c r="E1527">
        <v>1</v>
      </c>
      <c r="F1527">
        <v>0.3</v>
      </c>
      <c r="G1527" t="s">
        <v>39</v>
      </c>
      <c r="H1527" t="s">
        <v>21</v>
      </c>
      <c r="I1527" t="s">
        <v>20</v>
      </c>
      <c r="J1527" s="2">
        <f>Table1_1[[#This Row],[Sales]]-Table1_1[[#This Row],[Sales]]*Table1_1[[#This Row],[Discount]]</f>
        <v>180.607</v>
      </c>
      <c r="K1527" s="1">
        <v>45459</v>
      </c>
      <c r="L1527" s="11">
        <v>45462</v>
      </c>
      <c r="M1527">
        <f>DATEDIF(Table1_1[[#This Row],[Order Date]],Table1_1[[#This Row],[Ship Date]],"D")</f>
        <v>3</v>
      </c>
    </row>
    <row r="1528" spans="1:13" x14ac:dyDescent="0.35">
      <c r="A1528" t="s">
        <v>1943</v>
      </c>
      <c r="B1528" t="s">
        <v>410</v>
      </c>
      <c r="C1528" t="s">
        <v>223</v>
      </c>
      <c r="D1528" s="2">
        <v>1516.02</v>
      </c>
      <c r="E1528">
        <v>2</v>
      </c>
      <c r="F1528">
        <v>0.3</v>
      </c>
      <c r="G1528" t="s">
        <v>14</v>
      </c>
      <c r="H1528" t="s">
        <v>21</v>
      </c>
      <c r="I1528" t="s">
        <v>16</v>
      </c>
      <c r="J1528" s="2">
        <f>Table1_1[[#This Row],[Sales]]-Table1_1[[#This Row],[Sales]]*Table1_1[[#This Row],[Discount]]</f>
        <v>1061.2139999999999</v>
      </c>
      <c r="K1528" s="1">
        <v>45592</v>
      </c>
      <c r="L1528" s="11">
        <v>45595</v>
      </c>
      <c r="M1528">
        <f>DATEDIF(Table1_1[[#This Row],[Order Date]],Table1_1[[#This Row],[Ship Date]],"D")</f>
        <v>3</v>
      </c>
    </row>
    <row r="1529" spans="1:13" x14ac:dyDescent="0.35">
      <c r="A1529" t="s">
        <v>1944</v>
      </c>
      <c r="B1529" t="s">
        <v>514</v>
      </c>
      <c r="C1529" t="s">
        <v>441</v>
      </c>
      <c r="D1529" s="2">
        <v>3821.34</v>
      </c>
      <c r="E1529">
        <v>6</v>
      </c>
      <c r="F1529">
        <v>0</v>
      </c>
      <c r="G1529" t="s">
        <v>14</v>
      </c>
      <c r="H1529" t="s">
        <v>15</v>
      </c>
      <c r="I1529" t="s">
        <v>20</v>
      </c>
      <c r="J1529" s="2">
        <f>Table1_1[[#This Row],[Sales]]-Table1_1[[#This Row],[Sales]]*Table1_1[[#This Row],[Discount]]</f>
        <v>3821.34</v>
      </c>
      <c r="K1529" s="1">
        <v>45003</v>
      </c>
      <c r="L1529" s="11">
        <v>45006</v>
      </c>
      <c r="M1529">
        <f>DATEDIF(Table1_1[[#This Row],[Order Date]],Table1_1[[#This Row],[Ship Date]],"D")</f>
        <v>3</v>
      </c>
    </row>
    <row r="1530" spans="1:13" x14ac:dyDescent="0.35">
      <c r="A1530" t="s">
        <v>1945</v>
      </c>
      <c r="B1530" t="s">
        <v>1112</v>
      </c>
      <c r="C1530" t="s">
        <v>359</v>
      </c>
      <c r="D1530" s="2">
        <v>2052.85</v>
      </c>
      <c r="E1530">
        <v>7</v>
      </c>
      <c r="F1530">
        <v>0.2</v>
      </c>
      <c r="G1530" t="s">
        <v>14</v>
      </c>
      <c r="H1530" t="s">
        <v>21</v>
      </c>
      <c r="I1530" t="s">
        <v>43</v>
      </c>
      <c r="J1530" s="2">
        <f>Table1_1[[#This Row],[Sales]]-Table1_1[[#This Row],[Sales]]*Table1_1[[#This Row],[Discount]]</f>
        <v>1642.28</v>
      </c>
      <c r="K1530" s="1">
        <v>44973</v>
      </c>
      <c r="L1530" s="11">
        <v>44976</v>
      </c>
      <c r="M1530">
        <f>DATEDIF(Table1_1[[#This Row],[Order Date]],Table1_1[[#This Row],[Ship Date]],"D")</f>
        <v>3</v>
      </c>
    </row>
    <row r="1531" spans="1:13" x14ac:dyDescent="0.35">
      <c r="A1531" t="s">
        <v>1946</v>
      </c>
      <c r="B1531" t="s">
        <v>112</v>
      </c>
      <c r="C1531" t="s">
        <v>820</v>
      </c>
      <c r="D1531" s="2">
        <v>2905.26</v>
      </c>
      <c r="E1531">
        <v>1</v>
      </c>
      <c r="F1531">
        <v>0.1</v>
      </c>
      <c r="G1531" t="s">
        <v>14</v>
      </c>
      <c r="H1531" t="s">
        <v>15</v>
      </c>
      <c r="I1531" t="s">
        <v>20</v>
      </c>
      <c r="J1531" s="2">
        <f>Table1_1[[#This Row],[Sales]]-Table1_1[[#This Row],[Sales]]*Table1_1[[#This Row],[Discount]]</f>
        <v>2614.7340000000004</v>
      </c>
      <c r="K1531" s="1">
        <v>45455</v>
      </c>
      <c r="L1531" s="11">
        <v>45460</v>
      </c>
      <c r="M1531">
        <f>DATEDIF(Table1_1[[#This Row],[Order Date]],Table1_1[[#This Row],[Ship Date]],"D")</f>
        <v>5</v>
      </c>
    </row>
    <row r="1532" spans="1:13" x14ac:dyDescent="0.35">
      <c r="A1532" t="s">
        <v>1947</v>
      </c>
      <c r="B1532" t="s">
        <v>216</v>
      </c>
      <c r="C1532" t="s">
        <v>281</v>
      </c>
      <c r="D1532" s="2">
        <v>1047.52</v>
      </c>
      <c r="E1532">
        <v>2</v>
      </c>
      <c r="F1532">
        <v>0.1</v>
      </c>
      <c r="G1532" t="s">
        <v>39</v>
      </c>
      <c r="H1532" t="s">
        <v>21</v>
      </c>
      <c r="I1532" t="s">
        <v>43</v>
      </c>
      <c r="J1532" s="2">
        <f>Table1_1[[#This Row],[Sales]]-Table1_1[[#This Row],[Sales]]*Table1_1[[#This Row],[Discount]]</f>
        <v>942.76800000000003</v>
      </c>
      <c r="K1532" s="1">
        <v>45363</v>
      </c>
      <c r="L1532" s="11">
        <v>45370</v>
      </c>
      <c r="M1532">
        <f>DATEDIF(Table1_1[[#This Row],[Order Date]],Table1_1[[#This Row],[Ship Date]],"D")</f>
        <v>7</v>
      </c>
    </row>
    <row r="1533" spans="1:13" x14ac:dyDescent="0.35">
      <c r="A1533" t="s">
        <v>1948</v>
      </c>
      <c r="B1533" t="s">
        <v>846</v>
      </c>
      <c r="C1533" t="s">
        <v>102</v>
      </c>
      <c r="D1533" s="2">
        <v>669.44</v>
      </c>
      <c r="E1533">
        <v>9</v>
      </c>
      <c r="F1533">
        <v>0</v>
      </c>
      <c r="G1533" t="s">
        <v>39</v>
      </c>
      <c r="H1533" t="s">
        <v>21</v>
      </c>
      <c r="I1533" t="s">
        <v>43</v>
      </c>
      <c r="J1533" s="2">
        <f>Table1_1[[#This Row],[Sales]]-Table1_1[[#This Row],[Sales]]*Table1_1[[#This Row],[Discount]]</f>
        <v>669.44</v>
      </c>
      <c r="K1533" s="1">
        <v>45690</v>
      </c>
      <c r="L1533" s="11">
        <v>45695</v>
      </c>
      <c r="M1533">
        <f>DATEDIF(Table1_1[[#This Row],[Order Date]],Table1_1[[#This Row],[Ship Date]],"D")</f>
        <v>5</v>
      </c>
    </row>
    <row r="1534" spans="1:13" x14ac:dyDescent="0.35">
      <c r="A1534" t="s">
        <v>1949</v>
      </c>
      <c r="B1534" t="s">
        <v>616</v>
      </c>
      <c r="C1534" t="s">
        <v>160</v>
      </c>
      <c r="D1534" s="2">
        <v>1359.24</v>
      </c>
      <c r="E1534">
        <v>9</v>
      </c>
      <c r="F1534">
        <v>0</v>
      </c>
      <c r="G1534" t="s">
        <v>14</v>
      </c>
      <c r="H1534" t="s">
        <v>21</v>
      </c>
      <c r="I1534" t="s">
        <v>16</v>
      </c>
      <c r="J1534" s="2">
        <f>Table1_1[[#This Row],[Sales]]-Table1_1[[#This Row],[Sales]]*Table1_1[[#This Row],[Discount]]</f>
        <v>1359.24</v>
      </c>
      <c r="K1534" s="1">
        <v>45543</v>
      </c>
      <c r="L1534" s="11">
        <v>45547</v>
      </c>
      <c r="M1534">
        <f>DATEDIF(Table1_1[[#This Row],[Order Date]],Table1_1[[#This Row],[Ship Date]],"D")</f>
        <v>4</v>
      </c>
    </row>
    <row r="1535" spans="1:13" x14ac:dyDescent="0.35">
      <c r="A1535" t="s">
        <v>1950</v>
      </c>
      <c r="B1535" t="s">
        <v>182</v>
      </c>
      <c r="C1535" t="s">
        <v>237</v>
      </c>
      <c r="D1535" s="2">
        <v>3130.11</v>
      </c>
      <c r="E1535">
        <v>4</v>
      </c>
      <c r="F1535">
        <v>0</v>
      </c>
      <c r="G1535" t="s">
        <v>39</v>
      </c>
      <c r="H1535" t="s">
        <v>15</v>
      </c>
      <c r="I1535" t="s">
        <v>20</v>
      </c>
      <c r="J1535" s="2">
        <f>Table1_1[[#This Row],[Sales]]-Table1_1[[#This Row],[Sales]]*Table1_1[[#This Row],[Discount]]</f>
        <v>3130.11</v>
      </c>
      <c r="K1535" s="1">
        <v>45093</v>
      </c>
      <c r="L1535" s="11">
        <v>45097</v>
      </c>
      <c r="M1535">
        <f>DATEDIF(Table1_1[[#This Row],[Order Date]],Table1_1[[#This Row],[Ship Date]],"D")</f>
        <v>4</v>
      </c>
    </row>
    <row r="1536" spans="1:13" x14ac:dyDescent="0.35">
      <c r="A1536" t="s">
        <v>1951</v>
      </c>
      <c r="B1536" t="s">
        <v>382</v>
      </c>
      <c r="C1536" t="s">
        <v>487</v>
      </c>
      <c r="D1536" s="2">
        <v>1004.7</v>
      </c>
      <c r="E1536">
        <v>6</v>
      </c>
      <c r="F1536">
        <v>0.3</v>
      </c>
      <c r="G1536" t="s">
        <v>19</v>
      </c>
      <c r="H1536" t="s">
        <v>15</v>
      </c>
      <c r="I1536" t="s">
        <v>16</v>
      </c>
      <c r="J1536" s="2">
        <f>Table1_1[[#This Row],[Sales]]-Table1_1[[#This Row],[Sales]]*Table1_1[[#This Row],[Discount]]</f>
        <v>703.29</v>
      </c>
      <c r="K1536" s="1">
        <v>45548</v>
      </c>
      <c r="L1536" s="11">
        <v>45549</v>
      </c>
      <c r="M1536">
        <f>DATEDIF(Table1_1[[#This Row],[Order Date]],Table1_1[[#This Row],[Ship Date]],"D")</f>
        <v>1</v>
      </c>
    </row>
    <row r="1537" spans="1:13" x14ac:dyDescent="0.35">
      <c r="A1537" t="s">
        <v>1952</v>
      </c>
      <c r="B1537" t="s">
        <v>492</v>
      </c>
      <c r="C1537" t="s">
        <v>185</v>
      </c>
      <c r="D1537" s="2">
        <v>580.24</v>
      </c>
      <c r="E1537">
        <v>7</v>
      </c>
      <c r="F1537">
        <v>0.1</v>
      </c>
      <c r="G1537" t="s">
        <v>19</v>
      </c>
      <c r="H1537" t="s">
        <v>15</v>
      </c>
      <c r="I1537" t="s">
        <v>43</v>
      </c>
      <c r="J1537" s="2">
        <f>Table1_1[[#This Row],[Sales]]-Table1_1[[#This Row],[Sales]]*Table1_1[[#This Row],[Discount]]</f>
        <v>522.21600000000001</v>
      </c>
      <c r="K1537" s="1">
        <v>45640</v>
      </c>
      <c r="L1537" s="11">
        <v>45646</v>
      </c>
      <c r="M1537">
        <f>DATEDIF(Table1_1[[#This Row],[Order Date]],Table1_1[[#This Row],[Ship Date]],"D")</f>
        <v>6</v>
      </c>
    </row>
    <row r="1538" spans="1:13" x14ac:dyDescent="0.35">
      <c r="A1538" t="s">
        <v>1953</v>
      </c>
      <c r="B1538" t="s">
        <v>597</v>
      </c>
      <c r="C1538" t="s">
        <v>243</v>
      </c>
      <c r="D1538" s="2">
        <v>454.1</v>
      </c>
      <c r="E1538">
        <v>2</v>
      </c>
      <c r="F1538">
        <v>0.3</v>
      </c>
      <c r="G1538" t="s">
        <v>14</v>
      </c>
      <c r="H1538" t="s">
        <v>15</v>
      </c>
      <c r="I1538" t="s">
        <v>43</v>
      </c>
      <c r="J1538" s="2">
        <f>Table1_1[[#This Row],[Sales]]-Table1_1[[#This Row],[Sales]]*Table1_1[[#This Row],[Discount]]</f>
        <v>317.87</v>
      </c>
      <c r="K1538" s="1">
        <v>45339</v>
      </c>
      <c r="L1538" s="11">
        <v>45346</v>
      </c>
      <c r="M1538">
        <f>DATEDIF(Table1_1[[#This Row],[Order Date]],Table1_1[[#This Row],[Ship Date]],"D")</f>
        <v>7</v>
      </c>
    </row>
    <row r="1539" spans="1:13" x14ac:dyDescent="0.35">
      <c r="A1539" t="s">
        <v>1954</v>
      </c>
      <c r="B1539" t="s">
        <v>1073</v>
      </c>
      <c r="C1539" t="s">
        <v>273</v>
      </c>
      <c r="D1539" s="2">
        <v>1768.71</v>
      </c>
      <c r="E1539">
        <v>6</v>
      </c>
      <c r="F1539">
        <v>0</v>
      </c>
      <c r="G1539" t="s">
        <v>14</v>
      </c>
      <c r="H1539" t="s">
        <v>15</v>
      </c>
      <c r="I1539" t="s">
        <v>43</v>
      </c>
      <c r="J1539" s="2">
        <f>Table1_1[[#This Row],[Sales]]-Table1_1[[#This Row],[Sales]]*Table1_1[[#This Row],[Discount]]</f>
        <v>1768.71</v>
      </c>
      <c r="K1539" s="1">
        <v>45272</v>
      </c>
      <c r="L1539" s="11">
        <v>45277</v>
      </c>
      <c r="M1539">
        <f>DATEDIF(Table1_1[[#This Row],[Order Date]],Table1_1[[#This Row],[Ship Date]],"D")</f>
        <v>5</v>
      </c>
    </row>
    <row r="1540" spans="1:13" x14ac:dyDescent="0.35">
      <c r="A1540" t="s">
        <v>1955</v>
      </c>
      <c r="B1540" t="s">
        <v>530</v>
      </c>
      <c r="C1540" t="s">
        <v>595</v>
      </c>
      <c r="D1540" s="2">
        <v>3562.19</v>
      </c>
      <c r="E1540">
        <v>8</v>
      </c>
      <c r="F1540">
        <v>0</v>
      </c>
      <c r="G1540" t="s">
        <v>14</v>
      </c>
      <c r="H1540" t="s">
        <v>15</v>
      </c>
      <c r="I1540" t="s">
        <v>43</v>
      </c>
      <c r="J1540" s="2">
        <f>Table1_1[[#This Row],[Sales]]-Table1_1[[#This Row],[Sales]]*Table1_1[[#This Row],[Discount]]</f>
        <v>3562.19</v>
      </c>
      <c r="K1540" s="1">
        <v>45720</v>
      </c>
      <c r="L1540" s="11">
        <v>45724</v>
      </c>
      <c r="M1540">
        <f>DATEDIF(Table1_1[[#This Row],[Order Date]],Table1_1[[#This Row],[Ship Date]],"D")</f>
        <v>4</v>
      </c>
    </row>
    <row r="1541" spans="1:13" x14ac:dyDescent="0.35">
      <c r="A1541" t="s">
        <v>1956</v>
      </c>
      <c r="B1541" t="s">
        <v>670</v>
      </c>
      <c r="C1541" t="s">
        <v>166</v>
      </c>
      <c r="D1541" s="2">
        <v>2400.54</v>
      </c>
      <c r="E1541">
        <v>4</v>
      </c>
      <c r="F1541">
        <v>0.2</v>
      </c>
      <c r="G1541" t="s">
        <v>19</v>
      </c>
      <c r="H1541" t="s">
        <v>21</v>
      </c>
      <c r="I1541" t="s">
        <v>43</v>
      </c>
      <c r="J1541" s="2">
        <f>Table1_1[[#This Row],[Sales]]-Table1_1[[#This Row],[Sales]]*Table1_1[[#This Row],[Discount]]</f>
        <v>1920.432</v>
      </c>
      <c r="K1541" s="1">
        <v>45375</v>
      </c>
      <c r="L1541" s="11">
        <v>45381</v>
      </c>
      <c r="M1541">
        <f>DATEDIF(Table1_1[[#This Row],[Order Date]],Table1_1[[#This Row],[Ship Date]],"D")</f>
        <v>6</v>
      </c>
    </row>
    <row r="1542" spans="1:13" x14ac:dyDescent="0.35">
      <c r="A1542" t="s">
        <v>1957</v>
      </c>
      <c r="B1542" t="s">
        <v>288</v>
      </c>
      <c r="C1542" t="s">
        <v>148</v>
      </c>
      <c r="D1542" s="2">
        <v>2349.3000000000002</v>
      </c>
      <c r="E1542">
        <v>9</v>
      </c>
      <c r="F1542">
        <v>0</v>
      </c>
      <c r="G1542" t="s">
        <v>19</v>
      </c>
      <c r="H1542" t="s">
        <v>15</v>
      </c>
      <c r="I1542" t="s">
        <v>20</v>
      </c>
      <c r="J1542" s="2">
        <f>Table1_1[[#This Row],[Sales]]-Table1_1[[#This Row],[Sales]]*Table1_1[[#This Row],[Discount]]</f>
        <v>2349.3000000000002</v>
      </c>
      <c r="K1542" s="1">
        <v>45387</v>
      </c>
      <c r="L1542" s="11">
        <v>45394</v>
      </c>
      <c r="M1542">
        <f>DATEDIF(Table1_1[[#This Row],[Order Date]],Table1_1[[#This Row],[Ship Date]],"D")</f>
        <v>7</v>
      </c>
    </row>
    <row r="1543" spans="1:13" x14ac:dyDescent="0.35">
      <c r="A1543" t="s">
        <v>1958</v>
      </c>
      <c r="B1543" t="s">
        <v>236</v>
      </c>
      <c r="C1543" t="s">
        <v>357</v>
      </c>
      <c r="D1543" s="2">
        <v>3082.86</v>
      </c>
      <c r="E1543">
        <v>2</v>
      </c>
      <c r="F1543">
        <v>0.1</v>
      </c>
      <c r="G1543" t="s">
        <v>14</v>
      </c>
      <c r="H1543" t="s">
        <v>21</v>
      </c>
      <c r="I1543" t="s">
        <v>16</v>
      </c>
      <c r="J1543" s="2">
        <f>Table1_1[[#This Row],[Sales]]-Table1_1[[#This Row],[Sales]]*Table1_1[[#This Row],[Discount]]</f>
        <v>2774.5740000000001</v>
      </c>
      <c r="K1543" s="1">
        <v>45548</v>
      </c>
      <c r="L1543" s="11">
        <v>45550</v>
      </c>
      <c r="M1543">
        <f>DATEDIF(Table1_1[[#This Row],[Order Date]],Table1_1[[#This Row],[Ship Date]],"D")</f>
        <v>2</v>
      </c>
    </row>
    <row r="1544" spans="1:13" x14ac:dyDescent="0.35">
      <c r="A1544" t="s">
        <v>1959</v>
      </c>
      <c r="B1544" t="s">
        <v>177</v>
      </c>
      <c r="C1544" t="s">
        <v>60</v>
      </c>
      <c r="D1544" s="2">
        <v>4195.83</v>
      </c>
      <c r="E1544">
        <v>7</v>
      </c>
      <c r="F1544">
        <v>0</v>
      </c>
      <c r="G1544" t="s">
        <v>19</v>
      </c>
      <c r="H1544" t="s">
        <v>15</v>
      </c>
      <c r="I1544" t="s">
        <v>20</v>
      </c>
      <c r="J1544" s="2">
        <f>Table1_1[[#This Row],[Sales]]-Table1_1[[#This Row],[Sales]]*Table1_1[[#This Row],[Discount]]</f>
        <v>4195.83</v>
      </c>
      <c r="K1544" s="1">
        <v>45235</v>
      </c>
      <c r="L1544" s="11">
        <v>45238</v>
      </c>
      <c r="M1544">
        <f>DATEDIF(Table1_1[[#This Row],[Order Date]],Table1_1[[#This Row],[Ship Date]],"D")</f>
        <v>3</v>
      </c>
    </row>
    <row r="1545" spans="1:13" x14ac:dyDescent="0.35">
      <c r="A1545" t="s">
        <v>1960</v>
      </c>
      <c r="B1545" t="s">
        <v>1491</v>
      </c>
      <c r="C1545" t="s">
        <v>204</v>
      </c>
      <c r="D1545" s="2">
        <v>608.49</v>
      </c>
      <c r="E1545">
        <v>8</v>
      </c>
      <c r="F1545">
        <v>0.2</v>
      </c>
      <c r="G1545" t="s">
        <v>14</v>
      </c>
      <c r="H1545" t="s">
        <v>15</v>
      </c>
      <c r="I1545" t="s">
        <v>43</v>
      </c>
      <c r="J1545" s="2">
        <f>Table1_1[[#This Row],[Sales]]-Table1_1[[#This Row],[Sales]]*Table1_1[[#This Row],[Discount]]</f>
        <v>486.79200000000003</v>
      </c>
      <c r="K1545" s="1">
        <v>45271</v>
      </c>
      <c r="L1545" s="11">
        <v>45275</v>
      </c>
      <c r="M1545">
        <f>DATEDIF(Table1_1[[#This Row],[Order Date]],Table1_1[[#This Row],[Ship Date]],"D")</f>
        <v>4</v>
      </c>
    </row>
    <row r="1546" spans="1:13" x14ac:dyDescent="0.35">
      <c r="A1546" t="s">
        <v>1961</v>
      </c>
      <c r="B1546" t="s">
        <v>347</v>
      </c>
      <c r="C1546" t="s">
        <v>273</v>
      </c>
      <c r="D1546" s="2">
        <v>798.8</v>
      </c>
      <c r="E1546">
        <v>2</v>
      </c>
      <c r="F1546">
        <v>0.3</v>
      </c>
      <c r="G1546" t="s">
        <v>14</v>
      </c>
      <c r="H1546" t="s">
        <v>15</v>
      </c>
      <c r="I1546" t="s">
        <v>16</v>
      </c>
      <c r="J1546" s="2">
        <f>Table1_1[[#This Row],[Sales]]-Table1_1[[#This Row],[Sales]]*Table1_1[[#This Row],[Discount]]</f>
        <v>559.16</v>
      </c>
      <c r="K1546" s="1">
        <v>45549</v>
      </c>
      <c r="L1546" s="11">
        <v>45554</v>
      </c>
      <c r="M1546">
        <f>DATEDIF(Table1_1[[#This Row],[Order Date]],Table1_1[[#This Row],[Ship Date]],"D")</f>
        <v>5</v>
      </c>
    </row>
    <row r="1547" spans="1:13" x14ac:dyDescent="0.35">
      <c r="A1547" t="s">
        <v>1962</v>
      </c>
      <c r="B1547" t="s">
        <v>601</v>
      </c>
      <c r="C1547" t="s">
        <v>318</v>
      </c>
      <c r="D1547" s="2">
        <v>2213.4499999999998</v>
      </c>
      <c r="E1547">
        <v>9</v>
      </c>
      <c r="F1547">
        <v>0</v>
      </c>
      <c r="G1547" t="s">
        <v>14</v>
      </c>
      <c r="H1547" t="s">
        <v>21</v>
      </c>
      <c r="I1547" t="s">
        <v>20</v>
      </c>
      <c r="J1547" s="2">
        <f>Table1_1[[#This Row],[Sales]]-Table1_1[[#This Row],[Sales]]*Table1_1[[#This Row],[Discount]]</f>
        <v>2213.4499999999998</v>
      </c>
      <c r="K1547" s="1">
        <v>45332</v>
      </c>
      <c r="L1547" s="11">
        <v>45336</v>
      </c>
      <c r="M1547">
        <f>DATEDIF(Table1_1[[#This Row],[Order Date]],Table1_1[[#This Row],[Ship Date]],"D")</f>
        <v>4</v>
      </c>
    </row>
    <row r="1548" spans="1:13" x14ac:dyDescent="0.35">
      <c r="A1548" t="s">
        <v>1963</v>
      </c>
      <c r="B1548" t="s">
        <v>492</v>
      </c>
      <c r="C1548" t="s">
        <v>160</v>
      </c>
      <c r="D1548" s="2">
        <v>2168.3200000000002</v>
      </c>
      <c r="E1548">
        <v>7</v>
      </c>
      <c r="F1548">
        <v>0.1</v>
      </c>
      <c r="G1548" t="s">
        <v>14</v>
      </c>
      <c r="H1548" t="s">
        <v>15</v>
      </c>
      <c r="I1548" t="s">
        <v>16</v>
      </c>
      <c r="J1548" s="2">
        <f>Table1_1[[#This Row],[Sales]]-Table1_1[[#This Row],[Sales]]*Table1_1[[#This Row],[Discount]]</f>
        <v>1951.4880000000001</v>
      </c>
      <c r="K1548" s="1">
        <v>45418</v>
      </c>
      <c r="L1548" s="11">
        <v>45425</v>
      </c>
      <c r="M1548">
        <f>DATEDIF(Table1_1[[#This Row],[Order Date]],Table1_1[[#This Row],[Ship Date]],"D")</f>
        <v>7</v>
      </c>
    </row>
    <row r="1549" spans="1:13" x14ac:dyDescent="0.35">
      <c r="A1549" t="s">
        <v>1964</v>
      </c>
      <c r="B1549" t="s">
        <v>28</v>
      </c>
      <c r="C1549" t="s">
        <v>62</v>
      </c>
      <c r="D1549" s="2">
        <v>2319.2199999999998</v>
      </c>
      <c r="E1549">
        <v>8</v>
      </c>
      <c r="F1549">
        <v>0</v>
      </c>
      <c r="G1549" t="s">
        <v>39</v>
      </c>
      <c r="H1549" t="s">
        <v>21</v>
      </c>
      <c r="I1549" t="s">
        <v>43</v>
      </c>
      <c r="J1549" s="2">
        <f>Table1_1[[#This Row],[Sales]]-Table1_1[[#This Row],[Sales]]*Table1_1[[#This Row],[Discount]]</f>
        <v>2319.2199999999998</v>
      </c>
      <c r="K1549" s="1">
        <v>44969</v>
      </c>
      <c r="L1549" s="11">
        <v>44972</v>
      </c>
      <c r="M1549">
        <f>DATEDIF(Table1_1[[#This Row],[Order Date]],Table1_1[[#This Row],[Ship Date]],"D")</f>
        <v>3</v>
      </c>
    </row>
    <row r="1550" spans="1:13" x14ac:dyDescent="0.35">
      <c r="A1550" t="s">
        <v>1965</v>
      </c>
      <c r="B1550" t="s">
        <v>1178</v>
      </c>
      <c r="C1550" t="s">
        <v>273</v>
      </c>
      <c r="D1550" s="2">
        <v>2196.5300000000002</v>
      </c>
      <c r="E1550">
        <v>6</v>
      </c>
      <c r="F1550">
        <v>0.1</v>
      </c>
      <c r="G1550" t="s">
        <v>14</v>
      </c>
      <c r="H1550" t="s">
        <v>15</v>
      </c>
      <c r="I1550" t="s">
        <v>43</v>
      </c>
      <c r="J1550" s="2">
        <f>Table1_1[[#This Row],[Sales]]-Table1_1[[#This Row],[Sales]]*Table1_1[[#This Row],[Discount]]</f>
        <v>1976.8770000000002</v>
      </c>
      <c r="K1550" s="1">
        <v>45306</v>
      </c>
      <c r="L1550" s="11">
        <v>45312</v>
      </c>
      <c r="M1550">
        <f>DATEDIF(Table1_1[[#This Row],[Order Date]],Table1_1[[#This Row],[Ship Date]],"D")</f>
        <v>6</v>
      </c>
    </row>
    <row r="1551" spans="1:13" x14ac:dyDescent="0.35">
      <c r="A1551" t="s">
        <v>1966</v>
      </c>
      <c r="B1551" t="s">
        <v>1034</v>
      </c>
      <c r="C1551" t="s">
        <v>169</v>
      </c>
      <c r="D1551" s="2">
        <v>2490.94</v>
      </c>
      <c r="E1551">
        <v>9</v>
      </c>
      <c r="F1551">
        <v>0.2</v>
      </c>
      <c r="G1551" t="s">
        <v>19</v>
      </c>
      <c r="H1551" t="s">
        <v>21</v>
      </c>
      <c r="I1551" t="s">
        <v>16</v>
      </c>
      <c r="J1551" s="2">
        <f>Table1_1[[#This Row],[Sales]]-Table1_1[[#This Row],[Sales]]*Table1_1[[#This Row],[Discount]]</f>
        <v>1992.752</v>
      </c>
      <c r="K1551" s="1">
        <v>45681</v>
      </c>
      <c r="L1551" s="11">
        <v>45683</v>
      </c>
      <c r="M1551">
        <f>DATEDIF(Table1_1[[#This Row],[Order Date]],Table1_1[[#This Row],[Ship Date]],"D")</f>
        <v>2</v>
      </c>
    </row>
    <row r="1552" spans="1:13" x14ac:dyDescent="0.35">
      <c r="A1552" t="s">
        <v>1967</v>
      </c>
      <c r="B1552" t="s">
        <v>196</v>
      </c>
      <c r="C1552" t="s">
        <v>450</v>
      </c>
      <c r="D1552" s="2">
        <v>2538.5100000000002</v>
      </c>
      <c r="E1552">
        <v>5</v>
      </c>
      <c r="F1552">
        <v>0.3</v>
      </c>
      <c r="G1552" t="s">
        <v>39</v>
      </c>
      <c r="H1552" t="s">
        <v>21</v>
      </c>
      <c r="I1552" t="s">
        <v>43</v>
      </c>
      <c r="J1552" s="2">
        <f>Table1_1[[#This Row],[Sales]]-Table1_1[[#This Row],[Sales]]*Table1_1[[#This Row],[Discount]]</f>
        <v>1776.9570000000003</v>
      </c>
      <c r="K1552" s="1">
        <v>45788</v>
      </c>
      <c r="L1552" s="11">
        <v>45791</v>
      </c>
      <c r="M1552">
        <f>DATEDIF(Table1_1[[#This Row],[Order Date]],Table1_1[[#This Row],[Ship Date]],"D")</f>
        <v>3</v>
      </c>
    </row>
    <row r="1553" spans="1:13" x14ac:dyDescent="0.35">
      <c r="A1553" t="s">
        <v>1968</v>
      </c>
      <c r="B1553" t="s">
        <v>453</v>
      </c>
      <c r="C1553" t="s">
        <v>42</v>
      </c>
      <c r="D1553" s="2">
        <v>1893.96</v>
      </c>
      <c r="E1553">
        <v>5</v>
      </c>
      <c r="F1553">
        <v>0.3</v>
      </c>
      <c r="G1553" t="s">
        <v>14</v>
      </c>
      <c r="H1553" t="s">
        <v>21</v>
      </c>
      <c r="I1553" t="s">
        <v>20</v>
      </c>
      <c r="J1553" s="2">
        <f>Table1_1[[#This Row],[Sales]]-Table1_1[[#This Row],[Sales]]*Table1_1[[#This Row],[Discount]]</f>
        <v>1325.7719999999999</v>
      </c>
      <c r="K1553" s="1">
        <v>45193</v>
      </c>
      <c r="L1553" s="11">
        <v>45200</v>
      </c>
      <c r="M1553">
        <f>DATEDIF(Table1_1[[#This Row],[Order Date]],Table1_1[[#This Row],[Ship Date]],"D")</f>
        <v>7</v>
      </c>
    </row>
    <row r="1554" spans="1:13" x14ac:dyDescent="0.35">
      <c r="A1554" t="s">
        <v>1969</v>
      </c>
      <c r="B1554" t="s">
        <v>76</v>
      </c>
      <c r="C1554" t="s">
        <v>34</v>
      </c>
      <c r="D1554" s="2">
        <v>344.44</v>
      </c>
      <c r="E1554">
        <v>6</v>
      </c>
      <c r="F1554">
        <v>0</v>
      </c>
      <c r="G1554" t="s">
        <v>14</v>
      </c>
      <c r="H1554" t="s">
        <v>21</v>
      </c>
      <c r="I1554" t="s">
        <v>43</v>
      </c>
      <c r="J1554" s="2">
        <f>Table1_1[[#This Row],[Sales]]-Table1_1[[#This Row],[Sales]]*Table1_1[[#This Row],[Discount]]</f>
        <v>344.44</v>
      </c>
      <c r="K1554" s="1">
        <v>45080</v>
      </c>
      <c r="L1554" s="11">
        <v>45087</v>
      </c>
      <c r="M1554">
        <f>DATEDIF(Table1_1[[#This Row],[Order Date]],Table1_1[[#This Row],[Ship Date]],"D")</f>
        <v>7</v>
      </c>
    </row>
    <row r="1555" spans="1:13" x14ac:dyDescent="0.35">
      <c r="A1555" t="s">
        <v>1970</v>
      </c>
      <c r="B1555" t="s">
        <v>561</v>
      </c>
      <c r="C1555" t="s">
        <v>178</v>
      </c>
      <c r="D1555" s="2">
        <v>3098.11</v>
      </c>
      <c r="E1555">
        <v>10</v>
      </c>
      <c r="F1555">
        <v>0</v>
      </c>
      <c r="G1555" t="s">
        <v>14</v>
      </c>
      <c r="H1555" t="s">
        <v>21</v>
      </c>
      <c r="I1555" t="s">
        <v>16</v>
      </c>
      <c r="J1555" s="2">
        <f>Table1_1[[#This Row],[Sales]]-Table1_1[[#This Row],[Sales]]*Table1_1[[#This Row],[Discount]]</f>
        <v>3098.11</v>
      </c>
      <c r="K1555" s="1">
        <v>45057</v>
      </c>
      <c r="L1555" s="11">
        <v>45059</v>
      </c>
      <c r="M1555">
        <f>DATEDIF(Table1_1[[#This Row],[Order Date]],Table1_1[[#This Row],[Ship Date]],"D")</f>
        <v>2</v>
      </c>
    </row>
    <row r="1556" spans="1:13" x14ac:dyDescent="0.35">
      <c r="A1556" t="s">
        <v>1971</v>
      </c>
      <c r="B1556" t="s">
        <v>277</v>
      </c>
      <c r="C1556" t="s">
        <v>240</v>
      </c>
      <c r="D1556" s="2">
        <v>114.52</v>
      </c>
      <c r="E1556">
        <v>8</v>
      </c>
      <c r="F1556">
        <v>0.1</v>
      </c>
      <c r="G1556" t="s">
        <v>19</v>
      </c>
      <c r="H1556" t="s">
        <v>21</v>
      </c>
      <c r="I1556" t="s">
        <v>20</v>
      </c>
      <c r="J1556" s="2">
        <f>Table1_1[[#This Row],[Sales]]-Table1_1[[#This Row],[Sales]]*Table1_1[[#This Row],[Discount]]</f>
        <v>103.068</v>
      </c>
      <c r="K1556" s="1">
        <v>45300</v>
      </c>
      <c r="L1556" s="11">
        <v>45305</v>
      </c>
      <c r="M1556">
        <f>DATEDIF(Table1_1[[#This Row],[Order Date]],Table1_1[[#This Row],[Ship Date]],"D")</f>
        <v>5</v>
      </c>
    </row>
    <row r="1557" spans="1:13" x14ac:dyDescent="0.35">
      <c r="A1557" t="s">
        <v>1972</v>
      </c>
      <c r="B1557" t="s">
        <v>643</v>
      </c>
      <c r="C1557" t="s">
        <v>273</v>
      </c>
      <c r="D1557" s="2">
        <v>1863.71</v>
      </c>
      <c r="E1557">
        <v>10</v>
      </c>
      <c r="F1557">
        <v>0.1</v>
      </c>
      <c r="G1557" t="s">
        <v>39</v>
      </c>
      <c r="H1557" t="s">
        <v>21</v>
      </c>
      <c r="I1557" t="s">
        <v>16</v>
      </c>
      <c r="J1557" s="2">
        <f>Table1_1[[#This Row],[Sales]]-Table1_1[[#This Row],[Sales]]*Table1_1[[#This Row],[Discount]]</f>
        <v>1677.3389999999999</v>
      </c>
      <c r="K1557" s="1">
        <v>45282</v>
      </c>
      <c r="L1557" s="11">
        <v>45285</v>
      </c>
      <c r="M1557">
        <f>DATEDIF(Table1_1[[#This Row],[Order Date]],Table1_1[[#This Row],[Ship Date]],"D")</f>
        <v>3</v>
      </c>
    </row>
    <row r="1558" spans="1:13" x14ac:dyDescent="0.35">
      <c r="A1558" t="s">
        <v>1973</v>
      </c>
      <c r="B1558" t="s">
        <v>36</v>
      </c>
      <c r="C1558" t="s">
        <v>273</v>
      </c>
      <c r="D1558" s="2">
        <v>4366.13</v>
      </c>
      <c r="E1558">
        <v>5</v>
      </c>
      <c r="F1558">
        <v>0.1</v>
      </c>
      <c r="G1558" t="s">
        <v>39</v>
      </c>
      <c r="H1558" t="s">
        <v>21</v>
      </c>
      <c r="I1558" t="s">
        <v>43</v>
      </c>
      <c r="J1558" s="2">
        <f>Table1_1[[#This Row],[Sales]]-Table1_1[[#This Row],[Sales]]*Table1_1[[#This Row],[Discount]]</f>
        <v>3929.5169999999998</v>
      </c>
      <c r="K1558" s="1">
        <v>45646</v>
      </c>
      <c r="L1558" s="11">
        <v>45650</v>
      </c>
      <c r="M1558">
        <f>DATEDIF(Table1_1[[#This Row],[Order Date]],Table1_1[[#This Row],[Ship Date]],"D")</f>
        <v>4</v>
      </c>
    </row>
    <row r="1559" spans="1:13" x14ac:dyDescent="0.35">
      <c r="A1559" t="s">
        <v>1974</v>
      </c>
      <c r="B1559" t="s">
        <v>998</v>
      </c>
      <c r="C1559" t="s">
        <v>105</v>
      </c>
      <c r="D1559" s="2">
        <v>2790.48</v>
      </c>
      <c r="E1559">
        <v>7</v>
      </c>
      <c r="F1559">
        <v>0.3</v>
      </c>
      <c r="G1559" t="s">
        <v>14</v>
      </c>
      <c r="H1559" t="s">
        <v>21</v>
      </c>
      <c r="I1559" t="s">
        <v>20</v>
      </c>
      <c r="J1559" s="2">
        <f>Table1_1[[#This Row],[Sales]]-Table1_1[[#This Row],[Sales]]*Table1_1[[#This Row],[Discount]]</f>
        <v>1953.336</v>
      </c>
      <c r="K1559" s="1">
        <v>45447</v>
      </c>
      <c r="L1559" s="11">
        <v>45450</v>
      </c>
      <c r="M1559">
        <f>DATEDIF(Table1_1[[#This Row],[Order Date]],Table1_1[[#This Row],[Ship Date]],"D")</f>
        <v>3</v>
      </c>
    </row>
    <row r="1560" spans="1:13" x14ac:dyDescent="0.35">
      <c r="A1560" t="s">
        <v>1975</v>
      </c>
      <c r="B1560" t="s">
        <v>353</v>
      </c>
      <c r="C1560" t="s">
        <v>246</v>
      </c>
      <c r="D1560" s="2">
        <v>186.66</v>
      </c>
      <c r="E1560">
        <v>5</v>
      </c>
      <c r="F1560">
        <v>0.1</v>
      </c>
      <c r="G1560" t="s">
        <v>19</v>
      </c>
      <c r="H1560" t="s">
        <v>15</v>
      </c>
      <c r="I1560" t="s">
        <v>16</v>
      </c>
      <c r="J1560" s="2">
        <f>Table1_1[[#This Row],[Sales]]-Table1_1[[#This Row],[Sales]]*Table1_1[[#This Row],[Discount]]</f>
        <v>167.994</v>
      </c>
      <c r="K1560" s="1">
        <v>45347</v>
      </c>
      <c r="L1560" s="11">
        <v>45351</v>
      </c>
      <c r="M1560">
        <f>DATEDIF(Table1_1[[#This Row],[Order Date]],Table1_1[[#This Row],[Ship Date]],"D")</f>
        <v>4</v>
      </c>
    </row>
    <row r="1561" spans="1:13" x14ac:dyDescent="0.35">
      <c r="A1561" t="s">
        <v>1976</v>
      </c>
      <c r="B1561" t="s">
        <v>674</v>
      </c>
      <c r="C1561" t="s">
        <v>68</v>
      </c>
      <c r="D1561" s="2">
        <v>1101.07</v>
      </c>
      <c r="E1561">
        <v>1</v>
      </c>
      <c r="F1561">
        <v>0</v>
      </c>
      <c r="G1561" t="s">
        <v>14</v>
      </c>
      <c r="H1561" t="s">
        <v>21</v>
      </c>
      <c r="I1561" t="s">
        <v>43</v>
      </c>
      <c r="J1561" s="2">
        <f>Table1_1[[#This Row],[Sales]]-Table1_1[[#This Row],[Sales]]*Table1_1[[#This Row],[Discount]]</f>
        <v>1101.07</v>
      </c>
      <c r="K1561" s="1">
        <v>45079</v>
      </c>
      <c r="L1561" s="11">
        <v>45085</v>
      </c>
      <c r="M1561">
        <f>DATEDIF(Table1_1[[#This Row],[Order Date]],Table1_1[[#This Row],[Ship Date]],"D")</f>
        <v>6</v>
      </c>
    </row>
    <row r="1562" spans="1:13" x14ac:dyDescent="0.35">
      <c r="A1562" t="s">
        <v>1977</v>
      </c>
      <c r="B1562" t="s">
        <v>206</v>
      </c>
      <c r="C1562" t="s">
        <v>595</v>
      </c>
      <c r="D1562" s="2">
        <v>3601.1</v>
      </c>
      <c r="E1562">
        <v>8</v>
      </c>
      <c r="F1562">
        <v>0.3</v>
      </c>
      <c r="G1562" t="s">
        <v>14</v>
      </c>
      <c r="H1562" t="s">
        <v>21</v>
      </c>
      <c r="I1562" t="s">
        <v>20</v>
      </c>
      <c r="J1562" s="2">
        <f>Table1_1[[#This Row],[Sales]]-Table1_1[[#This Row],[Sales]]*Table1_1[[#This Row],[Discount]]</f>
        <v>2520.77</v>
      </c>
      <c r="K1562" s="1">
        <v>45327</v>
      </c>
      <c r="L1562" s="11">
        <v>45333</v>
      </c>
      <c r="M1562">
        <f>DATEDIF(Table1_1[[#This Row],[Order Date]],Table1_1[[#This Row],[Ship Date]],"D")</f>
        <v>6</v>
      </c>
    </row>
    <row r="1563" spans="1:13" x14ac:dyDescent="0.35">
      <c r="A1563" t="s">
        <v>1978</v>
      </c>
      <c r="B1563" t="s">
        <v>614</v>
      </c>
      <c r="C1563" t="s">
        <v>223</v>
      </c>
      <c r="D1563" s="2">
        <v>3704.66</v>
      </c>
      <c r="E1563">
        <v>7</v>
      </c>
      <c r="F1563">
        <v>0.3</v>
      </c>
      <c r="G1563" t="s">
        <v>19</v>
      </c>
      <c r="H1563" t="s">
        <v>21</v>
      </c>
      <c r="I1563" t="s">
        <v>20</v>
      </c>
      <c r="J1563" s="2">
        <f>Table1_1[[#This Row],[Sales]]-Table1_1[[#This Row],[Sales]]*Table1_1[[#This Row],[Discount]]</f>
        <v>2593.2619999999997</v>
      </c>
      <c r="K1563" s="1">
        <v>45085</v>
      </c>
      <c r="L1563" s="11">
        <v>45089</v>
      </c>
      <c r="M1563">
        <f>DATEDIF(Table1_1[[#This Row],[Order Date]],Table1_1[[#This Row],[Ship Date]],"D")</f>
        <v>4</v>
      </c>
    </row>
    <row r="1564" spans="1:13" x14ac:dyDescent="0.35">
      <c r="A1564" t="s">
        <v>1979</v>
      </c>
      <c r="B1564" t="s">
        <v>86</v>
      </c>
      <c r="C1564" t="s">
        <v>357</v>
      </c>
      <c r="D1564" s="2">
        <v>321.08999999999997</v>
      </c>
      <c r="E1564">
        <v>4</v>
      </c>
      <c r="F1564">
        <v>0</v>
      </c>
      <c r="G1564" t="s">
        <v>14</v>
      </c>
      <c r="H1564" t="s">
        <v>15</v>
      </c>
      <c r="I1564" t="s">
        <v>16</v>
      </c>
      <c r="J1564" s="2">
        <f>Table1_1[[#This Row],[Sales]]-Table1_1[[#This Row],[Sales]]*Table1_1[[#This Row],[Discount]]</f>
        <v>321.08999999999997</v>
      </c>
      <c r="K1564" s="1">
        <v>45341</v>
      </c>
      <c r="L1564" s="11">
        <v>45346</v>
      </c>
      <c r="M1564">
        <f>DATEDIF(Table1_1[[#This Row],[Order Date]],Table1_1[[#This Row],[Ship Date]],"D")</f>
        <v>5</v>
      </c>
    </row>
    <row r="1565" spans="1:13" x14ac:dyDescent="0.35">
      <c r="A1565" t="s">
        <v>1980</v>
      </c>
      <c r="B1565" t="s">
        <v>56</v>
      </c>
      <c r="C1565" t="s">
        <v>160</v>
      </c>
      <c r="D1565" s="2">
        <v>2799.66</v>
      </c>
      <c r="E1565">
        <v>10</v>
      </c>
      <c r="F1565">
        <v>0.1</v>
      </c>
      <c r="G1565" t="s">
        <v>14</v>
      </c>
      <c r="H1565" t="s">
        <v>21</v>
      </c>
      <c r="I1565" t="s">
        <v>20</v>
      </c>
      <c r="J1565" s="2">
        <f>Table1_1[[#This Row],[Sales]]-Table1_1[[#This Row],[Sales]]*Table1_1[[#This Row],[Discount]]</f>
        <v>2519.694</v>
      </c>
      <c r="K1565" s="1">
        <v>45603</v>
      </c>
      <c r="L1565" s="11">
        <v>45610</v>
      </c>
      <c r="M1565">
        <f>DATEDIF(Table1_1[[#This Row],[Order Date]],Table1_1[[#This Row],[Ship Date]],"D")</f>
        <v>7</v>
      </c>
    </row>
    <row r="1566" spans="1:13" x14ac:dyDescent="0.35">
      <c r="A1566" t="s">
        <v>1981</v>
      </c>
      <c r="B1566" t="s">
        <v>345</v>
      </c>
      <c r="C1566" t="s">
        <v>128</v>
      </c>
      <c r="D1566" s="2">
        <v>1817.18</v>
      </c>
      <c r="E1566">
        <v>9</v>
      </c>
      <c r="F1566">
        <v>0.2</v>
      </c>
      <c r="G1566" t="s">
        <v>39</v>
      </c>
      <c r="H1566" t="s">
        <v>15</v>
      </c>
      <c r="I1566" t="s">
        <v>16</v>
      </c>
      <c r="J1566" s="2">
        <f>Table1_1[[#This Row],[Sales]]-Table1_1[[#This Row],[Sales]]*Table1_1[[#This Row],[Discount]]</f>
        <v>1453.7440000000001</v>
      </c>
      <c r="K1566" s="1">
        <v>45645</v>
      </c>
      <c r="L1566" s="11">
        <v>45649</v>
      </c>
      <c r="M1566">
        <f>DATEDIF(Table1_1[[#This Row],[Order Date]],Table1_1[[#This Row],[Ship Date]],"D")</f>
        <v>4</v>
      </c>
    </row>
    <row r="1567" spans="1:13" x14ac:dyDescent="0.35">
      <c r="A1567" t="s">
        <v>1982</v>
      </c>
      <c r="B1567" t="s">
        <v>115</v>
      </c>
      <c r="C1567" t="s">
        <v>190</v>
      </c>
      <c r="D1567" s="2">
        <v>3992.66</v>
      </c>
      <c r="E1567">
        <v>8</v>
      </c>
      <c r="F1567">
        <v>0</v>
      </c>
      <c r="G1567" t="s">
        <v>14</v>
      </c>
      <c r="H1567" t="s">
        <v>15</v>
      </c>
      <c r="I1567" t="s">
        <v>20</v>
      </c>
      <c r="J1567" s="2">
        <f>Table1_1[[#This Row],[Sales]]-Table1_1[[#This Row],[Sales]]*Table1_1[[#This Row],[Discount]]</f>
        <v>3992.66</v>
      </c>
      <c r="K1567" s="1">
        <v>45086</v>
      </c>
      <c r="L1567" s="11">
        <v>45092</v>
      </c>
      <c r="M1567">
        <f>DATEDIF(Table1_1[[#This Row],[Order Date]],Table1_1[[#This Row],[Ship Date]],"D")</f>
        <v>6</v>
      </c>
    </row>
    <row r="1568" spans="1:13" x14ac:dyDescent="0.35">
      <c r="A1568" t="s">
        <v>1983</v>
      </c>
      <c r="B1568" t="s">
        <v>1398</v>
      </c>
      <c r="C1568" t="s">
        <v>357</v>
      </c>
      <c r="D1568" s="2">
        <v>621.28</v>
      </c>
      <c r="E1568">
        <v>8</v>
      </c>
      <c r="F1568">
        <v>0.3</v>
      </c>
      <c r="G1568" t="s">
        <v>39</v>
      </c>
      <c r="H1568" t="s">
        <v>21</v>
      </c>
      <c r="I1568" t="s">
        <v>16</v>
      </c>
      <c r="J1568" s="2">
        <f>Table1_1[[#This Row],[Sales]]-Table1_1[[#This Row],[Sales]]*Table1_1[[#This Row],[Discount]]</f>
        <v>434.89599999999996</v>
      </c>
      <c r="K1568" s="1">
        <v>45071</v>
      </c>
      <c r="L1568" s="11">
        <v>45072</v>
      </c>
      <c r="M1568">
        <f>DATEDIF(Table1_1[[#This Row],[Order Date]],Table1_1[[#This Row],[Ship Date]],"D")</f>
        <v>1</v>
      </c>
    </row>
    <row r="1569" spans="1:13" x14ac:dyDescent="0.35">
      <c r="A1569" t="s">
        <v>1984</v>
      </c>
      <c r="B1569" t="s">
        <v>840</v>
      </c>
      <c r="C1569" t="s">
        <v>217</v>
      </c>
      <c r="D1569" s="2">
        <v>3192.19</v>
      </c>
      <c r="E1569">
        <v>8</v>
      </c>
      <c r="F1569">
        <v>0.3</v>
      </c>
      <c r="G1569" t="s">
        <v>39</v>
      </c>
      <c r="H1569" t="s">
        <v>21</v>
      </c>
      <c r="I1569" t="s">
        <v>20</v>
      </c>
      <c r="J1569" s="2">
        <f>Table1_1[[#This Row],[Sales]]-Table1_1[[#This Row],[Sales]]*Table1_1[[#This Row],[Discount]]</f>
        <v>2234.5330000000004</v>
      </c>
      <c r="K1569" s="1">
        <v>45165</v>
      </c>
      <c r="L1569" s="11">
        <v>45169</v>
      </c>
      <c r="M1569">
        <f>DATEDIF(Table1_1[[#This Row],[Order Date]],Table1_1[[#This Row],[Ship Date]],"D")</f>
        <v>4</v>
      </c>
    </row>
    <row r="1570" spans="1:13" x14ac:dyDescent="0.35">
      <c r="A1570" t="s">
        <v>1985</v>
      </c>
      <c r="B1570" t="s">
        <v>434</v>
      </c>
      <c r="C1570" t="s">
        <v>376</v>
      </c>
      <c r="D1570" s="2">
        <v>1819.31</v>
      </c>
      <c r="E1570">
        <v>10</v>
      </c>
      <c r="F1570">
        <v>0</v>
      </c>
      <c r="G1570" t="s">
        <v>39</v>
      </c>
      <c r="H1570" t="s">
        <v>15</v>
      </c>
      <c r="I1570" t="s">
        <v>20</v>
      </c>
      <c r="J1570" s="2">
        <f>Table1_1[[#This Row],[Sales]]-Table1_1[[#This Row],[Sales]]*Table1_1[[#This Row],[Discount]]</f>
        <v>1819.31</v>
      </c>
      <c r="K1570" s="1">
        <v>45025</v>
      </c>
      <c r="L1570" s="11">
        <v>45026</v>
      </c>
      <c r="M1570">
        <f>DATEDIF(Table1_1[[#This Row],[Order Date]],Table1_1[[#This Row],[Ship Date]],"D")</f>
        <v>1</v>
      </c>
    </row>
    <row r="1571" spans="1:13" x14ac:dyDescent="0.35">
      <c r="A1571" t="s">
        <v>1986</v>
      </c>
      <c r="B1571" t="s">
        <v>365</v>
      </c>
      <c r="C1571" t="s">
        <v>240</v>
      </c>
      <c r="D1571" s="2">
        <v>2533.65</v>
      </c>
      <c r="E1571">
        <v>4</v>
      </c>
      <c r="F1571">
        <v>0.2</v>
      </c>
      <c r="G1571" t="s">
        <v>14</v>
      </c>
      <c r="H1571" t="s">
        <v>21</v>
      </c>
      <c r="I1571" t="s">
        <v>16</v>
      </c>
      <c r="J1571" s="2">
        <f>Table1_1[[#This Row],[Sales]]-Table1_1[[#This Row],[Sales]]*Table1_1[[#This Row],[Discount]]</f>
        <v>2026.92</v>
      </c>
      <c r="K1571" s="1">
        <v>45545</v>
      </c>
      <c r="L1571" s="11">
        <v>45552</v>
      </c>
      <c r="M1571">
        <f>DATEDIF(Table1_1[[#This Row],[Order Date]],Table1_1[[#This Row],[Ship Date]],"D")</f>
        <v>7</v>
      </c>
    </row>
    <row r="1572" spans="1:13" x14ac:dyDescent="0.35">
      <c r="A1572" t="s">
        <v>1987</v>
      </c>
      <c r="B1572" t="s">
        <v>866</v>
      </c>
      <c r="C1572" t="s">
        <v>62</v>
      </c>
      <c r="D1572" s="2">
        <v>1406.58</v>
      </c>
      <c r="E1572">
        <v>3</v>
      </c>
      <c r="F1572">
        <v>0.3</v>
      </c>
      <c r="G1572" t="s">
        <v>14</v>
      </c>
      <c r="H1572" t="s">
        <v>21</v>
      </c>
      <c r="I1572" t="s">
        <v>20</v>
      </c>
      <c r="J1572" s="2">
        <f>Table1_1[[#This Row],[Sales]]-Table1_1[[#This Row],[Sales]]*Table1_1[[#This Row],[Discount]]</f>
        <v>984.60599999999999</v>
      </c>
      <c r="K1572" s="1">
        <v>45573</v>
      </c>
      <c r="L1572" s="11">
        <v>45575</v>
      </c>
      <c r="M1572">
        <f>DATEDIF(Table1_1[[#This Row],[Order Date]],Table1_1[[#This Row],[Ship Date]],"D")</f>
        <v>2</v>
      </c>
    </row>
    <row r="1573" spans="1:13" x14ac:dyDescent="0.35">
      <c r="A1573" t="s">
        <v>1988</v>
      </c>
      <c r="B1573" t="s">
        <v>30</v>
      </c>
      <c r="C1573" t="s">
        <v>214</v>
      </c>
      <c r="D1573" s="2">
        <v>4271.7700000000004</v>
      </c>
      <c r="E1573">
        <v>8</v>
      </c>
      <c r="F1573">
        <v>0.3</v>
      </c>
      <c r="G1573" t="s">
        <v>39</v>
      </c>
      <c r="H1573" t="s">
        <v>15</v>
      </c>
      <c r="I1573" t="s">
        <v>43</v>
      </c>
      <c r="J1573" s="2">
        <f>Table1_1[[#This Row],[Sales]]-Table1_1[[#This Row],[Sales]]*Table1_1[[#This Row],[Discount]]</f>
        <v>2990.2390000000005</v>
      </c>
      <c r="K1573" s="1">
        <v>45791</v>
      </c>
      <c r="L1573" s="11">
        <v>45792</v>
      </c>
      <c r="M1573">
        <f>DATEDIF(Table1_1[[#This Row],[Order Date]],Table1_1[[#This Row],[Ship Date]],"D")</f>
        <v>1</v>
      </c>
    </row>
    <row r="1574" spans="1:13" x14ac:dyDescent="0.35">
      <c r="A1574" t="s">
        <v>1989</v>
      </c>
      <c r="B1574" t="s">
        <v>93</v>
      </c>
      <c r="C1574" t="s">
        <v>408</v>
      </c>
      <c r="D1574" s="2">
        <v>1880.78</v>
      </c>
      <c r="E1574">
        <v>3</v>
      </c>
      <c r="F1574">
        <v>0.3</v>
      </c>
      <c r="G1574" t="s">
        <v>19</v>
      </c>
      <c r="H1574" t="s">
        <v>15</v>
      </c>
      <c r="I1574" t="s">
        <v>43</v>
      </c>
      <c r="J1574" s="2">
        <f>Table1_1[[#This Row],[Sales]]-Table1_1[[#This Row],[Sales]]*Table1_1[[#This Row],[Discount]]</f>
        <v>1316.546</v>
      </c>
      <c r="K1574" s="1">
        <v>45088</v>
      </c>
      <c r="L1574" s="11">
        <v>45093</v>
      </c>
      <c r="M1574">
        <f>DATEDIF(Table1_1[[#This Row],[Order Date]],Table1_1[[#This Row],[Ship Date]],"D")</f>
        <v>5</v>
      </c>
    </row>
    <row r="1575" spans="1:13" x14ac:dyDescent="0.35">
      <c r="A1575" t="s">
        <v>1990</v>
      </c>
      <c r="B1575" t="s">
        <v>33</v>
      </c>
      <c r="C1575" t="s">
        <v>336</v>
      </c>
      <c r="D1575" s="2">
        <v>4395.13</v>
      </c>
      <c r="E1575">
        <v>5</v>
      </c>
      <c r="F1575">
        <v>0</v>
      </c>
      <c r="G1575" t="s">
        <v>39</v>
      </c>
      <c r="H1575" t="s">
        <v>21</v>
      </c>
      <c r="I1575" t="s">
        <v>20</v>
      </c>
      <c r="J1575" s="2">
        <f>Table1_1[[#This Row],[Sales]]-Table1_1[[#This Row],[Sales]]*Table1_1[[#This Row],[Discount]]</f>
        <v>4395.13</v>
      </c>
      <c r="K1575" s="1">
        <v>45607</v>
      </c>
      <c r="L1575" s="11">
        <v>45608</v>
      </c>
      <c r="M1575">
        <f>DATEDIF(Table1_1[[#This Row],[Order Date]],Table1_1[[#This Row],[Ship Date]],"D")</f>
        <v>1</v>
      </c>
    </row>
    <row r="1576" spans="1:13" x14ac:dyDescent="0.35">
      <c r="A1576" t="s">
        <v>1991</v>
      </c>
      <c r="B1576" t="s">
        <v>1122</v>
      </c>
      <c r="C1576" t="s">
        <v>341</v>
      </c>
      <c r="D1576" s="2">
        <v>579.85</v>
      </c>
      <c r="E1576">
        <v>5</v>
      </c>
      <c r="F1576">
        <v>0</v>
      </c>
      <c r="G1576" t="s">
        <v>14</v>
      </c>
      <c r="H1576" t="s">
        <v>15</v>
      </c>
      <c r="I1576" t="s">
        <v>43</v>
      </c>
      <c r="J1576" s="2">
        <f>Table1_1[[#This Row],[Sales]]-Table1_1[[#This Row],[Sales]]*Table1_1[[#This Row],[Discount]]</f>
        <v>579.85</v>
      </c>
      <c r="K1576" s="1">
        <v>45781</v>
      </c>
      <c r="L1576" s="11">
        <v>45785</v>
      </c>
      <c r="M1576">
        <f>DATEDIF(Table1_1[[#This Row],[Order Date]],Table1_1[[#This Row],[Ship Date]],"D")</f>
        <v>4</v>
      </c>
    </row>
    <row r="1577" spans="1:13" x14ac:dyDescent="0.35">
      <c r="A1577" t="s">
        <v>1992</v>
      </c>
      <c r="B1577" t="s">
        <v>629</v>
      </c>
      <c r="C1577" t="s">
        <v>65</v>
      </c>
      <c r="D1577" s="2">
        <v>2862.8</v>
      </c>
      <c r="E1577">
        <v>1</v>
      </c>
      <c r="F1577">
        <v>0.2</v>
      </c>
      <c r="G1577" t="s">
        <v>39</v>
      </c>
      <c r="H1577" t="s">
        <v>15</v>
      </c>
      <c r="I1577" t="s">
        <v>20</v>
      </c>
      <c r="J1577" s="2">
        <f>Table1_1[[#This Row],[Sales]]-Table1_1[[#This Row],[Sales]]*Table1_1[[#This Row],[Discount]]</f>
        <v>2290.2400000000002</v>
      </c>
      <c r="K1577" s="1">
        <v>45752</v>
      </c>
      <c r="L1577" s="11">
        <v>45755</v>
      </c>
      <c r="M1577">
        <f>DATEDIF(Table1_1[[#This Row],[Order Date]],Table1_1[[#This Row],[Ship Date]],"D")</f>
        <v>3</v>
      </c>
    </row>
    <row r="1578" spans="1:13" x14ac:dyDescent="0.35">
      <c r="A1578" t="s">
        <v>1993</v>
      </c>
      <c r="B1578" t="s">
        <v>173</v>
      </c>
      <c r="C1578" t="s">
        <v>91</v>
      </c>
      <c r="D1578" s="2">
        <v>402.35</v>
      </c>
      <c r="E1578">
        <v>1</v>
      </c>
      <c r="F1578">
        <v>0.1</v>
      </c>
      <c r="G1578" t="s">
        <v>39</v>
      </c>
      <c r="H1578" t="s">
        <v>21</v>
      </c>
      <c r="I1578" t="s">
        <v>43</v>
      </c>
      <c r="J1578" s="2">
        <f>Table1_1[[#This Row],[Sales]]-Table1_1[[#This Row],[Sales]]*Table1_1[[#This Row],[Discount]]</f>
        <v>362.11500000000001</v>
      </c>
      <c r="K1578" s="1">
        <v>45609</v>
      </c>
      <c r="L1578" s="11">
        <v>45614</v>
      </c>
      <c r="M1578">
        <f>DATEDIF(Table1_1[[#This Row],[Order Date]],Table1_1[[#This Row],[Ship Date]],"D")</f>
        <v>5</v>
      </c>
    </row>
    <row r="1579" spans="1:13" x14ac:dyDescent="0.35">
      <c r="A1579" t="s">
        <v>1994</v>
      </c>
      <c r="B1579" t="s">
        <v>791</v>
      </c>
      <c r="C1579" t="s">
        <v>278</v>
      </c>
      <c r="D1579" s="2">
        <v>4708.53</v>
      </c>
      <c r="E1579">
        <v>9</v>
      </c>
      <c r="F1579">
        <v>0</v>
      </c>
      <c r="G1579" t="s">
        <v>14</v>
      </c>
      <c r="H1579" t="s">
        <v>21</v>
      </c>
      <c r="I1579" t="s">
        <v>16</v>
      </c>
      <c r="J1579" s="2">
        <f>Table1_1[[#This Row],[Sales]]-Table1_1[[#This Row],[Sales]]*Table1_1[[#This Row],[Discount]]</f>
        <v>4708.53</v>
      </c>
      <c r="K1579" s="1">
        <v>45593</v>
      </c>
      <c r="L1579" s="11">
        <v>45599</v>
      </c>
      <c r="M1579">
        <f>DATEDIF(Table1_1[[#This Row],[Order Date]],Table1_1[[#This Row],[Ship Date]],"D")</f>
        <v>6</v>
      </c>
    </row>
    <row r="1580" spans="1:13" x14ac:dyDescent="0.35">
      <c r="A1580" t="s">
        <v>1995</v>
      </c>
      <c r="B1580" t="s">
        <v>1002</v>
      </c>
      <c r="C1580" t="s">
        <v>329</v>
      </c>
      <c r="D1580" s="2">
        <v>2603.4699999999998</v>
      </c>
      <c r="E1580">
        <v>1</v>
      </c>
      <c r="F1580">
        <v>0.3</v>
      </c>
      <c r="G1580" t="s">
        <v>39</v>
      </c>
      <c r="H1580" t="s">
        <v>21</v>
      </c>
      <c r="I1580" t="s">
        <v>16</v>
      </c>
      <c r="J1580" s="2">
        <f>Table1_1[[#This Row],[Sales]]-Table1_1[[#This Row],[Sales]]*Table1_1[[#This Row],[Discount]]</f>
        <v>1822.4289999999999</v>
      </c>
      <c r="K1580" s="1">
        <v>44963</v>
      </c>
      <c r="L1580" s="11">
        <v>44968</v>
      </c>
      <c r="M1580">
        <f>DATEDIF(Table1_1[[#This Row],[Order Date]],Table1_1[[#This Row],[Ship Date]],"D")</f>
        <v>5</v>
      </c>
    </row>
    <row r="1581" spans="1:13" x14ac:dyDescent="0.35">
      <c r="A1581" t="s">
        <v>1996</v>
      </c>
      <c r="B1581" t="s">
        <v>84</v>
      </c>
      <c r="C1581" t="s">
        <v>458</v>
      </c>
      <c r="D1581" s="2">
        <v>4266.1400000000003</v>
      </c>
      <c r="E1581">
        <v>1</v>
      </c>
      <c r="F1581">
        <v>0.1</v>
      </c>
      <c r="G1581" t="s">
        <v>14</v>
      </c>
      <c r="H1581" t="s">
        <v>21</v>
      </c>
      <c r="I1581" t="s">
        <v>16</v>
      </c>
      <c r="J1581" s="2">
        <f>Table1_1[[#This Row],[Sales]]-Table1_1[[#This Row],[Sales]]*Table1_1[[#This Row],[Discount]]</f>
        <v>3839.5260000000003</v>
      </c>
      <c r="K1581" s="1">
        <v>44984</v>
      </c>
      <c r="L1581" s="11">
        <v>44988</v>
      </c>
      <c r="M1581">
        <f>DATEDIF(Table1_1[[#This Row],[Order Date]],Table1_1[[#This Row],[Ship Date]],"D")</f>
        <v>4</v>
      </c>
    </row>
    <row r="1582" spans="1:13" x14ac:dyDescent="0.35">
      <c r="A1582" t="s">
        <v>1997</v>
      </c>
      <c r="B1582" t="s">
        <v>239</v>
      </c>
      <c r="C1582" t="s">
        <v>143</v>
      </c>
      <c r="D1582" s="2">
        <v>3352.1</v>
      </c>
      <c r="E1582">
        <v>9</v>
      </c>
      <c r="F1582">
        <v>0</v>
      </c>
      <c r="G1582" t="s">
        <v>14</v>
      </c>
      <c r="H1582" t="s">
        <v>21</v>
      </c>
      <c r="I1582" t="s">
        <v>43</v>
      </c>
      <c r="J1582" s="2">
        <f>Table1_1[[#This Row],[Sales]]-Table1_1[[#This Row],[Sales]]*Table1_1[[#This Row],[Discount]]</f>
        <v>3352.1</v>
      </c>
      <c r="K1582" s="1">
        <v>44959</v>
      </c>
      <c r="L1582" s="11">
        <v>44965</v>
      </c>
      <c r="M1582">
        <f>DATEDIF(Table1_1[[#This Row],[Order Date]],Table1_1[[#This Row],[Ship Date]],"D")</f>
        <v>6</v>
      </c>
    </row>
    <row r="1583" spans="1:13" x14ac:dyDescent="0.35">
      <c r="A1583" t="s">
        <v>1998</v>
      </c>
      <c r="B1583" t="s">
        <v>242</v>
      </c>
      <c r="C1583" t="s">
        <v>128</v>
      </c>
      <c r="D1583" s="2">
        <v>2219.58</v>
      </c>
      <c r="E1583">
        <v>4</v>
      </c>
      <c r="F1583">
        <v>0</v>
      </c>
      <c r="G1583" t="s">
        <v>19</v>
      </c>
      <c r="H1583" t="s">
        <v>15</v>
      </c>
      <c r="I1583" t="s">
        <v>20</v>
      </c>
      <c r="J1583" s="2">
        <f>Table1_1[[#This Row],[Sales]]-Table1_1[[#This Row],[Sales]]*Table1_1[[#This Row],[Discount]]</f>
        <v>2219.58</v>
      </c>
      <c r="K1583" s="1">
        <v>45797</v>
      </c>
      <c r="L1583" s="11">
        <v>45798</v>
      </c>
      <c r="M1583">
        <f>DATEDIF(Table1_1[[#This Row],[Order Date]],Table1_1[[#This Row],[Ship Date]],"D")</f>
        <v>1</v>
      </c>
    </row>
    <row r="1584" spans="1:13" x14ac:dyDescent="0.35">
      <c r="A1584" t="s">
        <v>1999</v>
      </c>
      <c r="B1584" t="s">
        <v>679</v>
      </c>
      <c r="C1584" t="s">
        <v>595</v>
      </c>
      <c r="D1584" s="2">
        <v>191.92</v>
      </c>
      <c r="E1584">
        <v>7</v>
      </c>
      <c r="F1584">
        <v>0.2</v>
      </c>
      <c r="G1584" t="s">
        <v>14</v>
      </c>
      <c r="H1584" t="s">
        <v>21</v>
      </c>
      <c r="I1584" t="s">
        <v>16</v>
      </c>
      <c r="J1584" s="2">
        <f>Table1_1[[#This Row],[Sales]]-Table1_1[[#This Row],[Sales]]*Table1_1[[#This Row],[Discount]]</f>
        <v>153.536</v>
      </c>
      <c r="K1584" s="1">
        <v>45000</v>
      </c>
      <c r="L1584" s="11">
        <v>45005</v>
      </c>
      <c r="M1584">
        <f>DATEDIF(Table1_1[[#This Row],[Order Date]],Table1_1[[#This Row],[Ship Date]],"D")</f>
        <v>5</v>
      </c>
    </row>
    <row r="1585" spans="1:13" x14ac:dyDescent="0.35">
      <c r="A1585" t="s">
        <v>2000</v>
      </c>
      <c r="B1585" t="s">
        <v>646</v>
      </c>
      <c r="C1585" t="s">
        <v>229</v>
      </c>
      <c r="D1585" s="2">
        <v>1860.27</v>
      </c>
      <c r="E1585">
        <v>8</v>
      </c>
      <c r="F1585">
        <v>0.2</v>
      </c>
      <c r="G1585" t="s">
        <v>39</v>
      </c>
      <c r="H1585" t="s">
        <v>15</v>
      </c>
      <c r="I1585" t="s">
        <v>16</v>
      </c>
      <c r="J1585" s="2">
        <f>Table1_1[[#This Row],[Sales]]-Table1_1[[#This Row],[Sales]]*Table1_1[[#This Row],[Discount]]</f>
        <v>1488.2159999999999</v>
      </c>
      <c r="K1585" s="1">
        <v>45625</v>
      </c>
      <c r="L1585" s="11">
        <v>45627</v>
      </c>
      <c r="M1585">
        <f>DATEDIF(Table1_1[[#This Row],[Order Date]],Table1_1[[#This Row],[Ship Date]],"D")</f>
        <v>2</v>
      </c>
    </row>
    <row r="1586" spans="1:13" x14ac:dyDescent="0.35">
      <c r="A1586" t="s">
        <v>2001</v>
      </c>
      <c r="B1586" t="s">
        <v>971</v>
      </c>
      <c r="C1586" t="s">
        <v>329</v>
      </c>
      <c r="D1586" s="2">
        <v>4849.0200000000004</v>
      </c>
      <c r="E1586">
        <v>2</v>
      </c>
      <c r="F1586">
        <v>0</v>
      </c>
      <c r="G1586" t="s">
        <v>19</v>
      </c>
      <c r="H1586" t="s">
        <v>15</v>
      </c>
      <c r="I1586" t="s">
        <v>16</v>
      </c>
      <c r="J1586" s="2">
        <f>Table1_1[[#This Row],[Sales]]-Table1_1[[#This Row],[Sales]]*Table1_1[[#This Row],[Discount]]</f>
        <v>4849.0200000000004</v>
      </c>
      <c r="K1586" s="1">
        <v>45653</v>
      </c>
      <c r="L1586" s="11">
        <v>45659</v>
      </c>
      <c r="M1586">
        <f>DATEDIF(Table1_1[[#This Row],[Order Date]],Table1_1[[#This Row],[Ship Date]],"D")</f>
        <v>6</v>
      </c>
    </row>
    <row r="1587" spans="1:13" x14ac:dyDescent="0.35">
      <c r="A1587" t="s">
        <v>2002</v>
      </c>
      <c r="B1587" t="s">
        <v>472</v>
      </c>
      <c r="C1587" t="s">
        <v>357</v>
      </c>
      <c r="D1587" s="2">
        <v>4033.81</v>
      </c>
      <c r="E1587">
        <v>4</v>
      </c>
      <c r="F1587">
        <v>0.1</v>
      </c>
      <c r="G1587" t="s">
        <v>14</v>
      </c>
      <c r="H1587" t="s">
        <v>15</v>
      </c>
      <c r="I1587" t="s">
        <v>43</v>
      </c>
      <c r="J1587" s="2">
        <f>Table1_1[[#This Row],[Sales]]-Table1_1[[#This Row],[Sales]]*Table1_1[[#This Row],[Discount]]</f>
        <v>3630.4290000000001</v>
      </c>
      <c r="K1587" s="1">
        <v>45061</v>
      </c>
      <c r="L1587" s="11">
        <v>45068</v>
      </c>
      <c r="M1587">
        <f>DATEDIF(Table1_1[[#This Row],[Order Date]],Table1_1[[#This Row],[Ship Date]],"D")</f>
        <v>7</v>
      </c>
    </row>
    <row r="1588" spans="1:13" x14ac:dyDescent="0.35">
      <c r="A1588" t="s">
        <v>2003</v>
      </c>
      <c r="B1588" t="s">
        <v>365</v>
      </c>
      <c r="C1588" t="s">
        <v>229</v>
      </c>
      <c r="D1588" s="2">
        <v>3997.17</v>
      </c>
      <c r="E1588">
        <v>8</v>
      </c>
      <c r="F1588">
        <v>0.3</v>
      </c>
      <c r="G1588" t="s">
        <v>39</v>
      </c>
      <c r="H1588" t="s">
        <v>15</v>
      </c>
      <c r="I1588" t="s">
        <v>20</v>
      </c>
      <c r="J1588" s="2">
        <f>Table1_1[[#This Row],[Sales]]-Table1_1[[#This Row],[Sales]]*Table1_1[[#This Row],[Discount]]</f>
        <v>2798.0190000000002</v>
      </c>
      <c r="K1588" s="1">
        <v>45094</v>
      </c>
      <c r="L1588" s="11">
        <v>45097</v>
      </c>
      <c r="M1588">
        <f>DATEDIF(Table1_1[[#This Row],[Order Date]],Table1_1[[#This Row],[Ship Date]],"D")</f>
        <v>3</v>
      </c>
    </row>
    <row r="1589" spans="1:13" x14ac:dyDescent="0.35">
      <c r="A1589" t="s">
        <v>2004</v>
      </c>
      <c r="B1589" t="s">
        <v>597</v>
      </c>
      <c r="C1589" t="s">
        <v>281</v>
      </c>
      <c r="D1589" s="2">
        <v>1293.6300000000001</v>
      </c>
      <c r="E1589">
        <v>4</v>
      </c>
      <c r="F1589">
        <v>0</v>
      </c>
      <c r="G1589" t="s">
        <v>14</v>
      </c>
      <c r="H1589" t="s">
        <v>15</v>
      </c>
      <c r="I1589" t="s">
        <v>20</v>
      </c>
      <c r="J1589" s="2">
        <f>Table1_1[[#This Row],[Sales]]-Table1_1[[#This Row],[Sales]]*Table1_1[[#This Row],[Discount]]</f>
        <v>1293.6300000000001</v>
      </c>
      <c r="K1589" s="1">
        <v>44972</v>
      </c>
      <c r="L1589" s="11">
        <v>44978</v>
      </c>
      <c r="M1589">
        <f>DATEDIF(Table1_1[[#This Row],[Order Date]],Table1_1[[#This Row],[Ship Date]],"D")</f>
        <v>6</v>
      </c>
    </row>
    <row r="1590" spans="1:13" x14ac:dyDescent="0.35">
      <c r="A1590" t="s">
        <v>2005</v>
      </c>
      <c r="B1590" t="s">
        <v>165</v>
      </c>
      <c r="C1590" t="s">
        <v>102</v>
      </c>
      <c r="D1590" s="2">
        <v>815.49</v>
      </c>
      <c r="E1590">
        <v>5</v>
      </c>
      <c r="F1590">
        <v>0.1</v>
      </c>
      <c r="G1590" t="s">
        <v>14</v>
      </c>
      <c r="H1590" t="s">
        <v>15</v>
      </c>
      <c r="I1590" t="s">
        <v>16</v>
      </c>
      <c r="J1590" s="2">
        <f>Table1_1[[#This Row],[Sales]]-Table1_1[[#This Row],[Sales]]*Table1_1[[#This Row],[Discount]]</f>
        <v>733.94100000000003</v>
      </c>
      <c r="K1590" s="1">
        <v>44986</v>
      </c>
      <c r="L1590" s="11">
        <v>44989</v>
      </c>
      <c r="M1590">
        <f>DATEDIF(Table1_1[[#This Row],[Order Date]],Table1_1[[#This Row],[Ship Date]],"D")</f>
        <v>3</v>
      </c>
    </row>
    <row r="1591" spans="1:13" x14ac:dyDescent="0.35">
      <c r="A1591" t="s">
        <v>2006</v>
      </c>
      <c r="B1591" t="s">
        <v>93</v>
      </c>
      <c r="C1591" t="s">
        <v>408</v>
      </c>
      <c r="D1591" s="2">
        <v>1648.87</v>
      </c>
      <c r="E1591">
        <v>10</v>
      </c>
      <c r="F1591">
        <v>0.1</v>
      </c>
      <c r="G1591" t="s">
        <v>14</v>
      </c>
      <c r="H1591" t="s">
        <v>21</v>
      </c>
      <c r="I1591" t="s">
        <v>20</v>
      </c>
      <c r="J1591" s="2">
        <f>Table1_1[[#This Row],[Sales]]-Table1_1[[#This Row],[Sales]]*Table1_1[[#This Row],[Discount]]</f>
        <v>1483.9829999999999</v>
      </c>
      <c r="K1591" s="1">
        <v>45266</v>
      </c>
      <c r="L1591" s="11">
        <v>45267</v>
      </c>
      <c r="M1591">
        <f>DATEDIF(Table1_1[[#This Row],[Order Date]],Table1_1[[#This Row],[Ship Date]],"D")</f>
        <v>1</v>
      </c>
    </row>
    <row r="1592" spans="1:13" x14ac:dyDescent="0.35">
      <c r="A1592" t="s">
        <v>2007</v>
      </c>
      <c r="B1592" t="s">
        <v>1491</v>
      </c>
      <c r="C1592" t="s">
        <v>82</v>
      </c>
      <c r="D1592" s="2">
        <v>1595.39</v>
      </c>
      <c r="E1592">
        <v>7</v>
      </c>
      <c r="F1592">
        <v>0.2</v>
      </c>
      <c r="G1592" t="s">
        <v>14</v>
      </c>
      <c r="H1592" t="s">
        <v>15</v>
      </c>
      <c r="I1592" t="s">
        <v>20</v>
      </c>
      <c r="J1592" s="2">
        <f>Table1_1[[#This Row],[Sales]]-Table1_1[[#This Row],[Sales]]*Table1_1[[#This Row],[Discount]]</f>
        <v>1276.3120000000001</v>
      </c>
      <c r="K1592" s="1">
        <v>45121</v>
      </c>
      <c r="L1592" s="11">
        <v>45122</v>
      </c>
      <c r="M1592">
        <f>DATEDIF(Table1_1[[#This Row],[Order Date]],Table1_1[[#This Row],[Ship Date]],"D")</f>
        <v>1</v>
      </c>
    </row>
    <row r="1593" spans="1:13" x14ac:dyDescent="0.35">
      <c r="A1593" t="s">
        <v>2008</v>
      </c>
      <c r="B1593" t="s">
        <v>201</v>
      </c>
      <c r="C1593" t="s">
        <v>91</v>
      </c>
      <c r="D1593" s="2">
        <v>2683.13</v>
      </c>
      <c r="E1593">
        <v>10</v>
      </c>
      <c r="F1593">
        <v>0.3</v>
      </c>
      <c r="G1593" t="s">
        <v>14</v>
      </c>
      <c r="H1593" t="s">
        <v>15</v>
      </c>
      <c r="I1593" t="s">
        <v>20</v>
      </c>
      <c r="J1593" s="2">
        <f>Table1_1[[#This Row],[Sales]]-Table1_1[[#This Row],[Sales]]*Table1_1[[#This Row],[Discount]]</f>
        <v>1878.1910000000003</v>
      </c>
      <c r="K1593" s="1">
        <v>45632</v>
      </c>
      <c r="L1593" s="11">
        <v>45637</v>
      </c>
      <c r="M1593">
        <f>DATEDIF(Table1_1[[#This Row],[Order Date]],Table1_1[[#This Row],[Ship Date]],"D")</f>
        <v>5</v>
      </c>
    </row>
    <row r="1594" spans="1:13" x14ac:dyDescent="0.35">
      <c r="A1594" t="s">
        <v>2009</v>
      </c>
      <c r="B1594" t="s">
        <v>402</v>
      </c>
      <c r="C1594" t="s">
        <v>223</v>
      </c>
      <c r="D1594" s="2">
        <v>3588.88</v>
      </c>
      <c r="E1594">
        <v>4</v>
      </c>
      <c r="F1594">
        <v>0.1</v>
      </c>
      <c r="G1594" t="s">
        <v>14</v>
      </c>
      <c r="H1594" t="s">
        <v>21</v>
      </c>
      <c r="I1594" t="s">
        <v>20</v>
      </c>
      <c r="J1594" s="2">
        <f>Table1_1[[#This Row],[Sales]]-Table1_1[[#This Row],[Sales]]*Table1_1[[#This Row],[Discount]]</f>
        <v>3229.9920000000002</v>
      </c>
      <c r="K1594" s="1">
        <v>45417</v>
      </c>
      <c r="L1594" s="11">
        <v>45424</v>
      </c>
      <c r="M1594">
        <f>DATEDIF(Table1_1[[#This Row],[Order Date]],Table1_1[[#This Row],[Ship Date]],"D")</f>
        <v>7</v>
      </c>
    </row>
    <row r="1595" spans="1:13" x14ac:dyDescent="0.35">
      <c r="A1595" t="s">
        <v>2010</v>
      </c>
      <c r="B1595" t="s">
        <v>165</v>
      </c>
      <c r="C1595" t="s">
        <v>265</v>
      </c>
      <c r="D1595" s="2">
        <v>4607.47</v>
      </c>
      <c r="E1595">
        <v>9</v>
      </c>
      <c r="F1595">
        <v>0.2</v>
      </c>
      <c r="G1595" t="s">
        <v>14</v>
      </c>
      <c r="H1595" t="s">
        <v>15</v>
      </c>
      <c r="I1595" t="s">
        <v>16</v>
      </c>
      <c r="J1595" s="2">
        <f>Table1_1[[#This Row],[Sales]]-Table1_1[[#This Row],[Sales]]*Table1_1[[#This Row],[Discount]]</f>
        <v>3685.9760000000001</v>
      </c>
      <c r="K1595" s="1">
        <v>45303</v>
      </c>
      <c r="L1595" s="11">
        <v>45306</v>
      </c>
      <c r="M1595">
        <f>DATEDIF(Table1_1[[#This Row],[Order Date]],Table1_1[[#This Row],[Ship Date]],"D")</f>
        <v>3</v>
      </c>
    </row>
    <row r="1596" spans="1:13" x14ac:dyDescent="0.35">
      <c r="A1596" t="s">
        <v>2011</v>
      </c>
      <c r="B1596" t="s">
        <v>127</v>
      </c>
      <c r="C1596" t="s">
        <v>726</v>
      </c>
      <c r="D1596" s="2">
        <v>2132.21</v>
      </c>
      <c r="E1596">
        <v>6</v>
      </c>
      <c r="F1596">
        <v>0.2</v>
      </c>
      <c r="G1596" t="s">
        <v>19</v>
      </c>
      <c r="H1596" t="s">
        <v>15</v>
      </c>
      <c r="I1596" t="s">
        <v>43</v>
      </c>
      <c r="J1596" s="2">
        <f>Table1_1[[#This Row],[Sales]]-Table1_1[[#This Row],[Sales]]*Table1_1[[#This Row],[Discount]]</f>
        <v>1705.768</v>
      </c>
      <c r="K1596" s="1">
        <v>44933</v>
      </c>
      <c r="L1596" s="11">
        <v>44935</v>
      </c>
      <c r="M1596">
        <f>DATEDIF(Table1_1[[#This Row],[Order Date]],Table1_1[[#This Row],[Ship Date]],"D")</f>
        <v>2</v>
      </c>
    </row>
    <row r="1597" spans="1:13" x14ac:dyDescent="0.35">
      <c r="A1597" t="s">
        <v>2012</v>
      </c>
      <c r="B1597" t="s">
        <v>632</v>
      </c>
      <c r="C1597" t="s">
        <v>259</v>
      </c>
      <c r="D1597" s="2">
        <v>1416.79</v>
      </c>
      <c r="E1597">
        <v>2</v>
      </c>
      <c r="F1597">
        <v>0.1</v>
      </c>
      <c r="G1597" t="s">
        <v>14</v>
      </c>
      <c r="H1597" t="s">
        <v>21</v>
      </c>
      <c r="I1597" t="s">
        <v>43</v>
      </c>
      <c r="J1597" s="2">
        <f>Table1_1[[#This Row],[Sales]]-Table1_1[[#This Row],[Sales]]*Table1_1[[#This Row],[Discount]]</f>
        <v>1275.1109999999999</v>
      </c>
      <c r="K1597" s="1">
        <v>45361</v>
      </c>
      <c r="L1597" s="11">
        <v>45362</v>
      </c>
      <c r="M1597">
        <f>DATEDIF(Table1_1[[#This Row],[Order Date]],Table1_1[[#This Row],[Ship Date]],"D")</f>
        <v>1</v>
      </c>
    </row>
    <row r="1598" spans="1:13" x14ac:dyDescent="0.35">
      <c r="A1598" t="s">
        <v>2013</v>
      </c>
      <c r="B1598" t="s">
        <v>940</v>
      </c>
      <c r="C1598" t="s">
        <v>662</v>
      </c>
      <c r="D1598" s="2">
        <v>365.44</v>
      </c>
      <c r="E1598">
        <v>1</v>
      </c>
      <c r="F1598">
        <v>0.2</v>
      </c>
      <c r="G1598" t="s">
        <v>14</v>
      </c>
      <c r="H1598" t="s">
        <v>21</v>
      </c>
      <c r="I1598" t="s">
        <v>16</v>
      </c>
      <c r="J1598" s="2">
        <f>Table1_1[[#This Row],[Sales]]-Table1_1[[#This Row],[Sales]]*Table1_1[[#This Row],[Discount]]</f>
        <v>292.35199999999998</v>
      </c>
      <c r="K1598" s="1">
        <v>45258</v>
      </c>
      <c r="L1598" s="11">
        <v>45265</v>
      </c>
      <c r="M1598">
        <f>DATEDIF(Table1_1[[#This Row],[Order Date]],Table1_1[[#This Row],[Ship Date]],"D")</f>
        <v>7</v>
      </c>
    </row>
    <row r="1599" spans="1:13" x14ac:dyDescent="0.35">
      <c r="A1599" t="s">
        <v>2014</v>
      </c>
      <c r="B1599" t="s">
        <v>309</v>
      </c>
      <c r="C1599" t="s">
        <v>220</v>
      </c>
      <c r="D1599" s="2">
        <v>2938.47</v>
      </c>
      <c r="E1599">
        <v>6</v>
      </c>
      <c r="F1599">
        <v>0.2</v>
      </c>
      <c r="G1599" t="s">
        <v>14</v>
      </c>
      <c r="H1599" t="s">
        <v>15</v>
      </c>
      <c r="I1599" t="s">
        <v>20</v>
      </c>
      <c r="J1599" s="2">
        <f>Table1_1[[#This Row],[Sales]]-Table1_1[[#This Row],[Sales]]*Table1_1[[#This Row],[Discount]]</f>
        <v>2350.7759999999998</v>
      </c>
      <c r="K1599" s="1">
        <v>45815</v>
      </c>
      <c r="L1599" s="11">
        <v>45818</v>
      </c>
      <c r="M1599">
        <f>DATEDIF(Table1_1[[#This Row],[Order Date]],Table1_1[[#This Row],[Ship Date]],"D")</f>
        <v>3</v>
      </c>
    </row>
    <row r="1600" spans="1:13" x14ac:dyDescent="0.35">
      <c r="A1600" t="s">
        <v>2015</v>
      </c>
      <c r="B1600" t="s">
        <v>177</v>
      </c>
      <c r="C1600" t="s">
        <v>357</v>
      </c>
      <c r="D1600" s="2">
        <v>3554.34</v>
      </c>
      <c r="E1600">
        <v>2</v>
      </c>
      <c r="F1600">
        <v>0.2</v>
      </c>
      <c r="G1600" t="s">
        <v>39</v>
      </c>
      <c r="H1600" t="s">
        <v>21</v>
      </c>
      <c r="I1600" t="s">
        <v>20</v>
      </c>
      <c r="J1600" s="2">
        <f>Table1_1[[#This Row],[Sales]]-Table1_1[[#This Row],[Sales]]*Table1_1[[#This Row],[Discount]]</f>
        <v>2843.4720000000002</v>
      </c>
      <c r="K1600" s="1">
        <v>45504</v>
      </c>
      <c r="L1600" s="11">
        <v>45509</v>
      </c>
      <c r="M1600">
        <f>DATEDIF(Table1_1[[#This Row],[Order Date]],Table1_1[[#This Row],[Ship Date]],"D")</f>
        <v>5</v>
      </c>
    </row>
    <row r="1601" spans="1:13" x14ac:dyDescent="0.35">
      <c r="A1601" t="s">
        <v>2016</v>
      </c>
      <c r="B1601" t="s">
        <v>222</v>
      </c>
      <c r="C1601" t="s">
        <v>293</v>
      </c>
      <c r="D1601" s="2">
        <v>4712.1899999999996</v>
      </c>
      <c r="E1601">
        <v>10</v>
      </c>
      <c r="F1601">
        <v>0.1</v>
      </c>
      <c r="G1601" t="s">
        <v>19</v>
      </c>
      <c r="H1601" t="s">
        <v>21</v>
      </c>
      <c r="I1601" t="s">
        <v>20</v>
      </c>
      <c r="J1601" s="2">
        <f>Table1_1[[#This Row],[Sales]]-Table1_1[[#This Row],[Sales]]*Table1_1[[#This Row],[Discount]]</f>
        <v>4240.9709999999995</v>
      </c>
      <c r="K1601" s="1">
        <v>45273</v>
      </c>
      <c r="L1601" s="11">
        <v>45279</v>
      </c>
      <c r="M1601">
        <f>DATEDIF(Table1_1[[#This Row],[Order Date]],Table1_1[[#This Row],[Ship Date]],"D")</f>
        <v>6</v>
      </c>
    </row>
    <row r="1602" spans="1:13" x14ac:dyDescent="0.35">
      <c r="A1602" t="s">
        <v>2017</v>
      </c>
      <c r="B1602" t="s">
        <v>840</v>
      </c>
      <c r="C1602" t="s">
        <v>262</v>
      </c>
      <c r="D1602" s="2">
        <v>4223.1899999999996</v>
      </c>
      <c r="E1602">
        <v>6</v>
      </c>
      <c r="F1602">
        <v>0.1</v>
      </c>
      <c r="G1602" t="s">
        <v>39</v>
      </c>
      <c r="H1602" t="s">
        <v>15</v>
      </c>
      <c r="I1602" t="s">
        <v>43</v>
      </c>
      <c r="J1602" s="2">
        <f>Table1_1[[#This Row],[Sales]]-Table1_1[[#This Row],[Sales]]*Table1_1[[#This Row],[Discount]]</f>
        <v>3800.8709999999996</v>
      </c>
      <c r="K1602" s="1">
        <v>45708</v>
      </c>
      <c r="L1602" s="11">
        <v>45714</v>
      </c>
      <c r="M1602">
        <f>DATEDIF(Table1_1[[#This Row],[Order Date]],Table1_1[[#This Row],[Ship Date]],"D")</f>
        <v>6</v>
      </c>
    </row>
    <row r="1603" spans="1:13" x14ac:dyDescent="0.35">
      <c r="A1603" t="s">
        <v>2018</v>
      </c>
      <c r="B1603" t="s">
        <v>590</v>
      </c>
      <c r="C1603" t="s">
        <v>436</v>
      </c>
      <c r="D1603" s="2">
        <v>1015.65</v>
      </c>
      <c r="E1603">
        <v>1</v>
      </c>
      <c r="F1603">
        <v>0.1</v>
      </c>
      <c r="G1603" t="s">
        <v>14</v>
      </c>
      <c r="H1603" t="s">
        <v>21</v>
      </c>
      <c r="I1603" t="s">
        <v>16</v>
      </c>
      <c r="J1603" s="2">
        <f>Table1_1[[#This Row],[Sales]]-Table1_1[[#This Row],[Sales]]*Table1_1[[#This Row],[Discount]]</f>
        <v>914.08500000000004</v>
      </c>
      <c r="K1603" s="1">
        <v>45081</v>
      </c>
      <c r="L1603" s="11">
        <v>45085</v>
      </c>
      <c r="M1603">
        <f>DATEDIF(Table1_1[[#This Row],[Order Date]],Table1_1[[#This Row],[Ship Date]],"D")</f>
        <v>4</v>
      </c>
    </row>
    <row r="1604" spans="1:13" x14ac:dyDescent="0.35">
      <c r="A1604" t="s">
        <v>2019</v>
      </c>
      <c r="B1604" t="s">
        <v>331</v>
      </c>
      <c r="C1604" t="s">
        <v>384</v>
      </c>
      <c r="D1604" s="2">
        <v>327.41000000000003</v>
      </c>
      <c r="E1604">
        <v>8</v>
      </c>
      <c r="F1604">
        <v>0.1</v>
      </c>
      <c r="G1604" t="s">
        <v>14</v>
      </c>
      <c r="H1604" t="s">
        <v>15</v>
      </c>
      <c r="I1604" t="s">
        <v>20</v>
      </c>
      <c r="J1604" s="2">
        <f>Table1_1[[#This Row],[Sales]]-Table1_1[[#This Row],[Sales]]*Table1_1[[#This Row],[Discount]]</f>
        <v>294.66900000000004</v>
      </c>
      <c r="K1604" s="1">
        <v>45270</v>
      </c>
      <c r="L1604" s="11">
        <v>45275</v>
      </c>
      <c r="M1604">
        <f>DATEDIF(Table1_1[[#This Row],[Order Date]],Table1_1[[#This Row],[Ship Date]],"D")</f>
        <v>5</v>
      </c>
    </row>
    <row r="1605" spans="1:13" x14ac:dyDescent="0.35">
      <c r="A1605" t="s">
        <v>2020</v>
      </c>
      <c r="B1605" t="s">
        <v>1593</v>
      </c>
      <c r="C1605" t="s">
        <v>291</v>
      </c>
      <c r="D1605" s="2">
        <v>3264.56</v>
      </c>
      <c r="E1605">
        <v>3</v>
      </c>
      <c r="F1605">
        <v>0.2</v>
      </c>
      <c r="G1605" t="s">
        <v>14</v>
      </c>
      <c r="H1605" t="s">
        <v>15</v>
      </c>
      <c r="I1605" t="s">
        <v>16</v>
      </c>
      <c r="J1605" s="2">
        <f>Table1_1[[#This Row],[Sales]]-Table1_1[[#This Row],[Sales]]*Table1_1[[#This Row],[Discount]]</f>
        <v>2611.6480000000001</v>
      </c>
      <c r="K1605" s="1">
        <v>45671</v>
      </c>
      <c r="L1605" s="11">
        <v>45678</v>
      </c>
      <c r="M1605">
        <f>DATEDIF(Table1_1[[#This Row],[Order Date]],Table1_1[[#This Row],[Ship Date]],"D")</f>
        <v>7</v>
      </c>
    </row>
    <row r="1606" spans="1:13" x14ac:dyDescent="0.35">
      <c r="A1606" t="s">
        <v>2021</v>
      </c>
      <c r="B1606" t="s">
        <v>1307</v>
      </c>
      <c r="C1606" t="s">
        <v>26</v>
      </c>
      <c r="D1606" s="2">
        <v>479.47</v>
      </c>
      <c r="E1606">
        <v>9</v>
      </c>
      <c r="F1606">
        <v>0.1</v>
      </c>
      <c r="G1606" t="s">
        <v>14</v>
      </c>
      <c r="H1606" t="s">
        <v>21</v>
      </c>
      <c r="I1606" t="s">
        <v>43</v>
      </c>
      <c r="J1606" s="2">
        <f>Table1_1[[#This Row],[Sales]]-Table1_1[[#This Row],[Sales]]*Table1_1[[#This Row],[Discount]]</f>
        <v>431.52300000000002</v>
      </c>
      <c r="K1606" s="1">
        <v>45720</v>
      </c>
      <c r="L1606" s="11">
        <v>45722</v>
      </c>
      <c r="M1606">
        <f>DATEDIF(Table1_1[[#This Row],[Order Date]],Table1_1[[#This Row],[Ship Date]],"D")</f>
        <v>2</v>
      </c>
    </row>
    <row r="1607" spans="1:13" x14ac:dyDescent="0.35">
      <c r="A1607" t="s">
        <v>2022</v>
      </c>
      <c r="B1607" t="s">
        <v>661</v>
      </c>
      <c r="C1607" t="s">
        <v>624</v>
      </c>
      <c r="D1607" s="2">
        <v>358.74</v>
      </c>
      <c r="E1607">
        <v>5</v>
      </c>
      <c r="F1607">
        <v>0</v>
      </c>
      <c r="G1607" t="s">
        <v>39</v>
      </c>
      <c r="H1607" t="s">
        <v>21</v>
      </c>
      <c r="I1607" t="s">
        <v>43</v>
      </c>
      <c r="J1607" s="2">
        <f>Table1_1[[#This Row],[Sales]]-Table1_1[[#This Row],[Sales]]*Table1_1[[#This Row],[Discount]]</f>
        <v>358.74</v>
      </c>
      <c r="K1607" s="1">
        <v>45153</v>
      </c>
      <c r="L1607" s="11">
        <v>45159</v>
      </c>
      <c r="M1607">
        <f>DATEDIF(Table1_1[[#This Row],[Order Date]],Table1_1[[#This Row],[Ship Date]],"D")</f>
        <v>6</v>
      </c>
    </row>
    <row r="1608" spans="1:13" x14ac:dyDescent="0.35">
      <c r="A1608" t="s">
        <v>2023</v>
      </c>
      <c r="B1608" t="s">
        <v>306</v>
      </c>
      <c r="C1608" t="s">
        <v>197</v>
      </c>
      <c r="D1608" s="2">
        <v>4639.37</v>
      </c>
      <c r="E1608">
        <v>1</v>
      </c>
      <c r="F1608">
        <v>0.1</v>
      </c>
      <c r="G1608" t="s">
        <v>14</v>
      </c>
      <c r="H1608" t="s">
        <v>15</v>
      </c>
      <c r="I1608" t="s">
        <v>43</v>
      </c>
      <c r="J1608" s="2">
        <f>Table1_1[[#This Row],[Sales]]-Table1_1[[#This Row],[Sales]]*Table1_1[[#This Row],[Discount]]</f>
        <v>4175.433</v>
      </c>
      <c r="K1608" s="1">
        <v>44941</v>
      </c>
      <c r="L1608" s="11">
        <v>44943</v>
      </c>
      <c r="M1608">
        <f>DATEDIF(Table1_1[[#This Row],[Order Date]],Table1_1[[#This Row],[Ship Date]],"D")</f>
        <v>2</v>
      </c>
    </row>
    <row r="1609" spans="1:13" x14ac:dyDescent="0.35">
      <c r="A1609" t="s">
        <v>2024</v>
      </c>
      <c r="B1609" t="s">
        <v>391</v>
      </c>
      <c r="C1609" t="s">
        <v>166</v>
      </c>
      <c r="D1609" s="2">
        <v>4424.18</v>
      </c>
      <c r="E1609">
        <v>10</v>
      </c>
      <c r="F1609">
        <v>0</v>
      </c>
      <c r="G1609" t="s">
        <v>39</v>
      </c>
      <c r="H1609" t="s">
        <v>21</v>
      </c>
      <c r="I1609" t="s">
        <v>43</v>
      </c>
      <c r="J1609" s="2">
        <f>Table1_1[[#This Row],[Sales]]-Table1_1[[#This Row],[Sales]]*Table1_1[[#This Row],[Discount]]</f>
        <v>4424.18</v>
      </c>
      <c r="K1609" s="1">
        <v>45087</v>
      </c>
      <c r="L1609" s="11">
        <v>45092</v>
      </c>
      <c r="M1609">
        <f>DATEDIF(Table1_1[[#This Row],[Order Date]],Table1_1[[#This Row],[Ship Date]],"D")</f>
        <v>5</v>
      </c>
    </row>
    <row r="1610" spans="1:13" x14ac:dyDescent="0.35">
      <c r="A1610" t="s">
        <v>2025</v>
      </c>
      <c r="B1610" t="s">
        <v>2026</v>
      </c>
      <c r="C1610" t="s">
        <v>388</v>
      </c>
      <c r="D1610" s="2">
        <v>3288.39</v>
      </c>
      <c r="E1610">
        <v>1</v>
      </c>
      <c r="F1610">
        <v>0.3</v>
      </c>
      <c r="G1610" t="s">
        <v>14</v>
      </c>
      <c r="H1610" t="s">
        <v>21</v>
      </c>
      <c r="I1610" t="s">
        <v>16</v>
      </c>
      <c r="J1610" s="2">
        <f>Table1_1[[#This Row],[Sales]]-Table1_1[[#This Row],[Sales]]*Table1_1[[#This Row],[Discount]]</f>
        <v>2301.873</v>
      </c>
      <c r="K1610" s="1">
        <v>45016</v>
      </c>
      <c r="L1610" s="11">
        <v>45019</v>
      </c>
      <c r="M1610">
        <f>DATEDIF(Table1_1[[#This Row],[Order Date]],Table1_1[[#This Row],[Ship Date]],"D")</f>
        <v>3</v>
      </c>
    </row>
    <row r="1611" spans="1:13" x14ac:dyDescent="0.35">
      <c r="A1611" t="s">
        <v>2027</v>
      </c>
      <c r="B1611" t="s">
        <v>455</v>
      </c>
      <c r="C1611" t="s">
        <v>135</v>
      </c>
      <c r="D1611" s="2">
        <v>1200.24</v>
      </c>
      <c r="E1611">
        <v>10</v>
      </c>
      <c r="F1611">
        <v>0.2</v>
      </c>
      <c r="G1611" t="s">
        <v>14</v>
      </c>
      <c r="H1611" t="s">
        <v>21</v>
      </c>
      <c r="I1611" t="s">
        <v>16</v>
      </c>
      <c r="J1611" s="2">
        <f>Table1_1[[#This Row],[Sales]]-Table1_1[[#This Row],[Sales]]*Table1_1[[#This Row],[Discount]]</f>
        <v>960.19200000000001</v>
      </c>
      <c r="K1611" s="1">
        <v>45554</v>
      </c>
      <c r="L1611" s="11">
        <v>45555</v>
      </c>
      <c r="M1611">
        <f>DATEDIF(Table1_1[[#This Row],[Order Date]],Table1_1[[#This Row],[Ship Date]],"D")</f>
        <v>1</v>
      </c>
    </row>
    <row r="1612" spans="1:13" x14ac:dyDescent="0.35">
      <c r="A1612" t="s">
        <v>2028</v>
      </c>
      <c r="B1612" t="s">
        <v>691</v>
      </c>
      <c r="C1612" t="s">
        <v>102</v>
      </c>
      <c r="D1612" s="2">
        <v>4767.71</v>
      </c>
      <c r="E1612">
        <v>6</v>
      </c>
      <c r="F1612">
        <v>0.1</v>
      </c>
      <c r="G1612" t="s">
        <v>39</v>
      </c>
      <c r="H1612" t="s">
        <v>15</v>
      </c>
      <c r="I1612" t="s">
        <v>20</v>
      </c>
      <c r="J1612" s="2">
        <f>Table1_1[[#This Row],[Sales]]-Table1_1[[#This Row],[Sales]]*Table1_1[[#This Row],[Discount]]</f>
        <v>4290.9390000000003</v>
      </c>
      <c r="K1612" s="1">
        <v>44953</v>
      </c>
      <c r="L1612" s="11">
        <v>44959</v>
      </c>
      <c r="M1612">
        <f>DATEDIF(Table1_1[[#This Row],[Order Date]],Table1_1[[#This Row],[Ship Date]],"D")</f>
        <v>6</v>
      </c>
    </row>
    <row r="1613" spans="1:13" x14ac:dyDescent="0.35">
      <c r="A1613" t="s">
        <v>2029</v>
      </c>
      <c r="B1613" t="s">
        <v>928</v>
      </c>
      <c r="C1613" t="s">
        <v>143</v>
      </c>
      <c r="D1613" s="2">
        <v>2584.6</v>
      </c>
      <c r="E1613">
        <v>4</v>
      </c>
      <c r="F1613">
        <v>0</v>
      </c>
      <c r="G1613" t="s">
        <v>39</v>
      </c>
      <c r="H1613" t="s">
        <v>21</v>
      </c>
      <c r="I1613" t="s">
        <v>43</v>
      </c>
      <c r="J1613" s="2">
        <f>Table1_1[[#This Row],[Sales]]-Table1_1[[#This Row],[Sales]]*Table1_1[[#This Row],[Discount]]</f>
        <v>2584.6</v>
      </c>
      <c r="K1613" s="1">
        <v>45426</v>
      </c>
      <c r="L1613" s="11">
        <v>45433</v>
      </c>
      <c r="M1613">
        <f>DATEDIF(Table1_1[[#This Row],[Order Date]],Table1_1[[#This Row],[Ship Date]],"D")</f>
        <v>7</v>
      </c>
    </row>
    <row r="1614" spans="1:13" x14ac:dyDescent="0.35">
      <c r="A1614" t="s">
        <v>2030</v>
      </c>
      <c r="B1614" t="s">
        <v>84</v>
      </c>
      <c r="C1614" t="s">
        <v>113</v>
      </c>
      <c r="D1614" s="2">
        <v>456.01</v>
      </c>
      <c r="E1614">
        <v>2</v>
      </c>
      <c r="F1614">
        <v>0.2</v>
      </c>
      <c r="G1614" t="s">
        <v>19</v>
      </c>
      <c r="H1614" t="s">
        <v>21</v>
      </c>
      <c r="I1614" t="s">
        <v>20</v>
      </c>
      <c r="J1614" s="2">
        <f>Table1_1[[#This Row],[Sales]]-Table1_1[[#This Row],[Sales]]*Table1_1[[#This Row],[Discount]]</f>
        <v>364.80799999999999</v>
      </c>
      <c r="K1614" s="1">
        <v>45703</v>
      </c>
      <c r="L1614" s="11">
        <v>45707</v>
      </c>
      <c r="M1614">
        <f>DATEDIF(Table1_1[[#This Row],[Order Date]],Table1_1[[#This Row],[Ship Date]],"D")</f>
        <v>4</v>
      </c>
    </row>
    <row r="1615" spans="1:13" x14ac:dyDescent="0.35">
      <c r="A1615" t="s">
        <v>2031</v>
      </c>
      <c r="B1615" t="s">
        <v>98</v>
      </c>
      <c r="C1615" t="s">
        <v>118</v>
      </c>
      <c r="D1615" s="2">
        <v>713.13</v>
      </c>
      <c r="E1615">
        <v>7</v>
      </c>
      <c r="F1615">
        <v>0.3</v>
      </c>
      <c r="G1615" t="s">
        <v>39</v>
      </c>
      <c r="H1615" t="s">
        <v>21</v>
      </c>
      <c r="I1615" t="s">
        <v>43</v>
      </c>
      <c r="J1615" s="2">
        <f>Table1_1[[#This Row],[Sales]]-Table1_1[[#This Row],[Sales]]*Table1_1[[#This Row],[Discount]]</f>
        <v>499.19100000000003</v>
      </c>
      <c r="K1615" s="1">
        <v>45715</v>
      </c>
      <c r="L1615" s="11">
        <v>45718</v>
      </c>
      <c r="M1615">
        <f>DATEDIF(Table1_1[[#This Row],[Order Date]],Table1_1[[#This Row],[Ship Date]],"D")</f>
        <v>3</v>
      </c>
    </row>
    <row r="1616" spans="1:13" x14ac:dyDescent="0.35">
      <c r="A1616" t="s">
        <v>2032</v>
      </c>
      <c r="B1616" t="s">
        <v>124</v>
      </c>
      <c r="C1616" t="s">
        <v>65</v>
      </c>
      <c r="D1616" s="2">
        <v>1418.92</v>
      </c>
      <c r="E1616">
        <v>6</v>
      </c>
      <c r="F1616">
        <v>0.1</v>
      </c>
      <c r="G1616" t="s">
        <v>39</v>
      </c>
      <c r="H1616" t="s">
        <v>15</v>
      </c>
      <c r="I1616" t="s">
        <v>43</v>
      </c>
      <c r="J1616" s="2">
        <f>Table1_1[[#This Row],[Sales]]-Table1_1[[#This Row],[Sales]]*Table1_1[[#This Row],[Discount]]</f>
        <v>1277.028</v>
      </c>
      <c r="K1616" s="1">
        <v>45726</v>
      </c>
      <c r="L1616" s="11">
        <v>45727</v>
      </c>
      <c r="M1616">
        <f>DATEDIF(Table1_1[[#This Row],[Order Date]],Table1_1[[#This Row],[Ship Date]],"D")</f>
        <v>1</v>
      </c>
    </row>
    <row r="1617" spans="1:13" x14ac:dyDescent="0.35">
      <c r="A1617" t="s">
        <v>2033</v>
      </c>
      <c r="B1617" t="s">
        <v>1460</v>
      </c>
      <c r="C1617" t="s">
        <v>388</v>
      </c>
      <c r="D1617" s="2">
        <v>1660.65</v>
      </c>
      <c r="E1617">
        <v>9</v>
      </c>
      <c r="F1617">
        <v>0.3</v>
      </c>
      <c r="G1617" t="s">
        <v>14</v>
      </c>
      <c r="H1617" t="s">
        <v>15</v>
      </c>
      <c r="I1617" t="s">
        <v>20</v>
      </c>
      <c r="J1617" s="2">
        <f>Table1_1[[#This Row],[Sales]]-Table1_1[[#This Row],[Sales]]*Table1_1[[#This Row],[Discount]]</f>
        <v>1162.4550000000002</v>
      </c>
      <c r="K1617" s="1">
        <v>45207</v>
      </c>
      <c r="L1617" s="11">
        <v>45209</v>
      </c>
      <c r="M1617">
        <f>DATEDIF(Table1_1[[#This Row],[Order Date]],Table1_1[[#This Row],[Ship Date]],"D")</f>
        <v>2</v>
      </c>
    </row>
    <row r="1618" spans="1:13" x14ac:dyDescent="0.35">
      <c r="A1618" t="s">
        <v>2034</v>
      </c>
      <c r="B1618" t="s">
        <v>154</v>
      </c>
      <c r="C1618" t="s">
        <v>185</v>
      </c>
      <c r="D1618" s="2">
        <v>3692.98</v>
      </c>
      <c r="E1618">
        <v>9</v>
      </c>
      <c r="F1618">
        <v>0.1</v>
      </c>
      <c r="G1618" t="s">
        <v>19</v>
      </c>
      <c r="H1618" t="s">
        <v>21</v>
      </c>
      <c r="I1618" t="s">
        <v>16</v>
      </c>
      <c r="J1618" s="2">
        <f>Table1_1[[#This Row],[Sales]]-Table1_1[[#This Row],[Sales]]*Table1_1[[#This Row],[Discount]]</f>
        <v>3323.6819999999998</v>
      </c>
      <c r="K1618" s="1">
        <v>45728</v>
      </c>
      <c r="L1618" s="11">
        <v>45734</v>
      </c>
      <c r="M1618">
        <f>DATEDIF(Table1_1[[#This Row],[Order Date]],Table1_1[[#This Row],[Ship Date]],"D")</f>
        <v>6</v>
      </c>
    </row>
    <row r="1619" spans="1:13" x14ac:dyDescent="0.35">
      <c r="A1619" t="s">
        <v>2035</v>
      </c>
      <c r="B1619" t="s">
        <v>447</v>
      </c>
      <c r="C1619" t="s">
        <v>68</v>
      </c>
      <c r="D1619" s="2">
        <v>2135.84</v>
      </c>
      <c r="E1619">
        <v>8</v>
      </c>
      <c r="F1619">
        <v>0.2</v>
      </c>
      <c r="G1619" t="s">
        <v>19</v>
      </c>
      <c r="H1619" t="s">
        <v>21</v>
      </c>
      <c r="I1619" t="s">
        <v>16</v>
      </c>
      <c r="J1619" s="2">
        <f>Table1_1[[#This Row],[Sales]]-Table1_1[[#This Row],[Sales]]*Table1_1[[#This Row],[Discount]]</f>
        <v>1708.672</v>
      </c>
      <c r="K1619" s="1">
        <v>45523</v>
      </c>
      <c r="L1619" s="11">
        <v>45528</v>
      </c>
      <c r="M1619">
        <f>DATEDIF(Table1_1[[#This Row],[Order Date]],Table1_1[[#This Row],[Ship Date]],"D")</f>
        <v>5</v>
      </c>
    </row>
    <row r="1620" spans="1:13" x14ac:dyDescent="0.35">
      <c r="A1620" t="s">
        <v>2036</v>
      </c>
      <c r="B1620" t="s">
        <v>420</v>
      </c>
      <c r="C1620" t="s">
        <v>223</v>
      </c>
      <c r="D1620" s="2">
        <v>2939.81</v>
      </c>
      <c r="E1620">
        <v>8</v>
      </c>
      <c r="F1620">
        <v>0.2</v>
      </c>
      <c r="G1620" t="s">
        <v>14</v>
      </c>
      <c r="H1620" t="s">
        <v>21</v>
      </c>
      <c r="I1620" t="s">
        <v>20</v>
      </c>
      <c r="J1620" s="2">
        <f>Table1_1[[#This Row],[Sales]]-Table1_1[[#This Row],[Sales]]*Table1_1[[#This Row],[Discount]]</f>
        <v>2351.848</v>
      </c>
      <c r="K1620" s="1">
        <v>45063</v>
      </c>
      <c r="L1620" s="11">
        <v>45070</v>
      </c>
      <c r="M1620">
        <f>DATEDIF(Table1_1[[#This Row],[Order Date]],Table1_1[[#This Row],[Ship Date]],"D")</f>
        <v>7</v>
      </c>
    </row>
    <row r="1621" spans="1:13" x14ac:dyDescent="0.35">
      <c r="A1621" t="s">
        <v>2037</v>
      </c>
      <c r="B1621" t="s">
        <v>672</v>
      </c>
      <c r="C1621" t="s">
        <v>190</v>
      </c>
      <c r="D1621" s="2">
        <v>2007.08</v>
      </c>
      <c r="E1621">
        <v>10</v>
      </c>
      <c r="F1621">
        <v>0.2</v>
      </c>
      <c r="G1621" t="s">
        <v>39</v>
      </c>
      <c r="H1621" t="s">
        <v>15</v>
      </c>
      <c r="I1621" t="s">
        <v>43</v>
      </c>
      <c r="J1621" s="2">
        <f>Table1_1[[#This Row],[Sales]]-Table1_1[[#This Row],[Sales]]*Table1_1[[#This Row],[Discount]]</f>
        <v>1605.664</v>
      </c>
      <c r="K1621" s="1">
        <v>44998</v>
      </c>
      <c r="L1621" s="11">
        <v>45005</v>
      </c>
      <c r="M1621">
        <f>DATEDIF(Table1_1[[#This Row],[Order Date]],Table1_1[[#This Row],[Ship Date]],"D")</f>
        <v>7</v>
      </c>
    </row>
    <row r="1622" spans="1:13" x14ac:dyDescent="0.35">
      <c r="A1622" t="s">
        <v>2038</v>
      </c>
      <c r="B1622" t="s">
        <v>333</v>
      </c>
      <c r="C1622" t="s">
        <v>65</v>
      </c>
      <c r="D1622" s="2">
        <v>1788.65</v>
      </c>
      <c r="E1622">
        <v>7</v>
      </c>
      <c r="F1622">
        <v>0</v>
      </c>
      <c r="G1622" t="s">
        <v>19</v>
      </c>
      <c r="H1622" t="s">
        <v>15</v>
      </c>
      <c r="I1622" t="s">
        <v>20</v>
      </c>
      <c r="J1622" s="2">
        <f>Table1_1[[#This Row],[Sales]]-Table1_1[[#This Row],[Sales]]*Table1_1[[#This Row],[Discount]]</f>
        <v>1788.65</v>
      </c>
      <c r="K1622" s="1">
        <v>45648</v>
      </c>
      <c r="L1622" s="11">
        <v>45649</v>
      </c>
      <c r="M1622">
        <f>DATEDIF(Table1_1[[#This Row],[Order Date]],Table1_1[[#This Row],[Ship Date]],"D")</f>
        <v>1</v>
      </c>
    </row>
    <row r="1623" spans="1:13" x14ac:dyDescent="0.35">
      <c r="A1623" t="s">
        <v>2039</v>
      </c>
      <c r="B1623" t="s">
        <v>1002</v>
      </c>
      <c r="C1623" t="s">
        <v>13</v>
      </c>
      <c r="D1623" s="2">
        <v>1873.29</v>
      </c>
      <c r="E1623">
        <v>6</v>
      </c>
      <c r="F1623">
        <v>0.3</v>
      </c>
      <c r="G1623" t="s">
        <v>14</v>
      </c>
      <c r="H1623" t="s">
        <v>15</v>
      </c>
      <c r="I1623" t="s">
        <v>20</v>
      </c>
      <c r="J1623" s="2">
        <f>Table1_1[[#This Row],[Sales]]-Table1_1[[#This Row],[Sales]]*Table1_1[[#This Row],[Discount]]</f>
        <v>1311.3029999999999</v>
      </c>
      <c r="K1623" s="1">
        <v>45599</v>
      </c>
      <c r="L1623" s="11">
        <v>45604</v>
      </c>
      <c r="M1623">
        <f>DATEDIF(Table1_1[[#This Row],[Order Date]],Table1_1[[#This Row],[Ship Date]],"D")</f>
        <v>5</v>
      </c>
    </row>
    <row r="1624" spans="1:13" x14ac:dyDescent="0.35">
      <c r="A1624" t="s">
        <v>2040</v>
      </c>
      <c r="B1624" t="s">
        <v>165</v>
      </c>
      <c r="C1624" t="s">
        <v>94</v>
      </c>
      <c r="D1624" s="2">
        <v>2367.5500000000002</v>
      </c>
      <c r="E1624">
        <v>5</v>
      </c>
      <c r="F1624">
        <v>0.3</v>
      </c>
      <c r="G1624" t="s">
        <v>14</v>
      </c>
      <c r="H1624" t="s">
        <v>21</v>
      </c>
      <c r="I1624" t="s">
        <v>20</v>
      </c>
      <c r="J1624" s="2">
        <f>Table1_1[[#This Row],[Sales]]-Table1_1[[#This Row],[Sales]]*Table1_1[[#This Row],[Discount]]</f>
        <v>1657.2850000000003</v>
      </c>
      <c r="K1624" s="1">
        <v>45213</v>
      </c>
      <c r="L1624" s="11">
        <v>45218</v>
      </c>
      <c r="M1624">
        <f>DATEDIF(Table1_1[[#This Row],[Order Date]],Table1_1[[#This Row],[Ship Date]],"D")</f>
        <v>5</v>
      </c>
    </row>
    <row r="1625" spans="1:13" x14ac:dyDescent="0.35">
      <c r="A1625" t="s">
        <v>2041</v>
      </c>
      <c r="B1625" t="s">
        <v>971</v>
      </c>
      <c r="C1625" t="s">
        <v>262</v>
      </c>
      <c r="D1625" s="2">
        <v>893.36</v>
      </c>
      <c r="E1625">
        <v>8</v>
      </c>
      <c r="F1625">
        <v>0.1</v>
      </c>
      <c r="G1625" t="s">
        <v>19</v>
      </c>
      <c r="H1625" t="s">
        <v>15</v>
      </c>
      <c r="I1625" t="s">
        <v>16</v>
      </c>
      <c r="J1625" s="2">
        <f>Table1_1[[#This Row],[Sales]]-Table1_1[[#This Row],[Sales]]*Table1_1[[#This Row],[Discount]]</f>
        <v>804.024</v>
      </c>
      <c r="K1625" s="1">
        <v>45318</v>
      </c>
      <c r="L1625" s="11">
        <v>45322</v>
      </c>
      <c r="M1625">
        <f>DATEDIF(Table1_1[[#This Row],[Order Date]],Table1_1[[#This Row],[Ship Date]],"D")</f>
        <v>4</v>
      </c>
    </row>
    <row r="1626" spans="1:13" x14ac:dyDescent="0.35">
      <c r="A1626" t="s">
        <v>2042</v>
      </c>
      <c r="B1626" t="s">
        <v>1004</v>
      </c>
      <c r="C1626" t="s">
        <v>285</v>
      </c>
      <c r="D1626" s="2">
        <v>433.15</v>
      </c>
      <c r="E1626">
        <v>5</v>
      </c>
      <c r="F1626">
        <v>0.2</v>
      </c>
      <c r="G1626" t="s">
        <v>19</v>
      </c>
      <c r="H1626" t="s">
        <v>21</v>
      </c>
      <c r="I1626" t="s">
        <v>16</v>
      </c>
      <c r="J1626" s="2">
        <f>Table1_1[[#This Row],[Sales]]-Table1_1[[#This Row],[Sales]]*Table1_1[[#This Row],[Discount]]</f>
        <v>346.52</v>
      </c>
      <c r="K1626" s="1">
        <v>45219</v>
      </c>
      <c r="L1626" s="11">
        <v>45223</v>
      </c>
      <c r="M1626">
        <f>DATEDIF(Table1_1[[#This Row],[Order Date]],Table1_1[[#This Row],[Ship Date]],"D")</f>
        <v>4</v>
      </c>
    </row>
    <row r="1627" spans="1:13" x14ac:dyDescent="0.35">
      <c r="A1627" t="s">
        <v>2043</v>
      </c>
      <c r="B1627" t="s">
        <v>807</v>
      </c>
      <c r="C1627" t="s">
        <v>450</v>
      </c>
      <c r="D1627" s="2">
        <v>2199.89</v>
      </c>
      <c r="E1627">
        <v>7</v>
      </c>
      <c r="F1627">
        <v>0.1</v>
      </c>
      <c r="G1627" t="s">
        <v>14</v>
      </c>
      <c r="H1627" t="s">
        <v>15</v>
      </c>
      <c r="I1627" t="s">
        <v>43</v>
      </c>
      <c r="J1627" s="2">
        <f>Table1_1[[#This Row],[Sales]]-Table1_1[[#This Row],[Sales]]*Table1_1[[#This Row],[Discount]]</f>
        <v>1979.9009999999998</v>
      </c>
      <c r="K1627" s="1">
        <v>45631</v>
      </c>
      <c r="L1627" s="11">
        <v>45635</v>
      </c>
      <c r="M1627">
        <f>DATEDIF(Table1_1[[#This Row],[Order Date]],Table1_1[[#This Row],[Ship Date]],"D")</f>
        <v>4</v>
      </c>
    </row>
    <row r="1628" spans="1:13" x14ac:dyDescent="0.35">
      <c r="A1628" t="s">
        <v>2044</v>
      </c>
      <c r="B1628" t="s">
        <v>275</v>
      </c>
      <c r="C1628" t="s">
        <v>89</v>
      </c>
      <c r="D1628" s="2">
        <v>1622.08</v>
      </c>
      <c r="E1628">
        <v>4</v>
      </c>
      <c r="F1628">
        <v>0</v>
      </c>
      <c r="G1628" t="s">
        <v>14</v>
      </c>
      <c r="H1628" t="s">
        <v>21</v>
      </c>
      <c r="I1628" t="s">
        <v>16</v>
      </c>
      <c r="J1628" s="2">
        <f>Table1_1[[#This Row],[Sales]]-Table1_1[[#This Row],[Sales]]*Table1_1[[#This Row],[Discount]]</f>
        <v>1622.08</v>
      </c>
      <c r="K1628" s="1">
        <v>45744</v>
      </c>
      <c r="L1628" s="11">
        <v>45746</v>
      </c>
      <c r="M1628">
        <f>DATEDIF(Table1_1[[#This Row],[Order Date]],Table1_1[[#This Row],[Ship Date]],"D")</f>
        <v>2</v>
      </c>
    </row>
    <row r="1629" spans="1:13" x14ac:dyDescent="0.35">
      <c r="A1629" t="s">
        <v>2045</v>
      </c>
      <c r="B1629" t="s">
        <v>801</v>
      </c>
      <c r="C1629" t="s">
        <v>726</v>
      </c>
      <c r="D1629" s="2">
        <v>1956.53</v>
      </c>
      <c r="E1629">
        <v>7</v>
      </c>
      <c r="F1629">
        <v>0.1</v>
      </c>
      <c r="G1629" t="s">
        <v>14</v>
      </c>
      <c r="H1629" t="s">
        <v>21</v>
      </c>
      <c r="I1629" t="s">
        <v>16</v>
      </c>
      <c r="J1629" s="2">
        <f>Table1_1[[#This Row],[Sales]]-Table1_1[[#This Row],[Sales]]*Table1_1[[#This Row],[Discount]]</f>
        <v>1760.877</v>
      </c>
      <c r="K1629" s="1">
        <v>45084</v>
      </c>
      <c r="L1629" s="11">
        <v>45089</v>
      </c>
      <c r="M1629">
        <f>DATEDIF(Table1_1[[#This Row],[Order Date]],Table1_1[[#This Row],[Ship Date]],"D")</f>
        <v>5</v>
      </c>
    </row>
    <row r="1630" spans="1:13" x14ac:dyDescent="0.35">
      <c r="A1630" t="s">
        <v>2046</v>
      </c>
      <c r="B1630" t="s">
        <v>93</v>
      </c>
      <c r="C1630" t="s">
        <v>726</v>
      </c>
      <c r="D1630" s="2">
        <v>696.02</v>
      </c>
      <c r="E1630">
        <v>3</v>
      </c>
      <c r="F1630">
        <v>0.2</v>
      </c>
      <c r="G1630" t="s">
        <v>14</v>
      </c>
      <c r="H1630" t="s">
        <v>21</v>
      </c>
      <c r="I1630" t="s">
        <v>20</v>
      </c>
      <c r="J1630" s="2">
        <f>Table1_1[[#This Row],[Sales]]-Table1_1[[#This Row],[Sales]]*Table1_1[[#This Row],[Discount]]</f>
        <v>556.81600000000003</v>
      </c>
      <c r="K1630" s="1">
        <v>45480</v>
      </c>
      <c r="L1630" s="11">
        <v>45483</v>
      </c>
      <c r="M1630">
        <f>DATEDIF(Table1_1[[#This Row],[Order Date]],Table1_1[[#This Row],[Ship Date]],"D")</f>
        <v>3</v>
      </c>
    </row>
    <row r="1631" spans="1:13" x14ac:dyDescent="0.35">
      <c r="A1631" t="s">
        <v>2047</v>
      </c>
      <c r="B1631" t="s">
        <v>261</v>
      </c>
      <c r="C1631" t="s">
        <v>102</v>
      </c>
      <c r="D1631" s="2">
        <v>2407.8200000000002</v>
      </c>
      <c r="E1631">
        <v>8</v>
      </c>
      <c r="F1631">
        <v>0.1</v>
      </c>
      <c r="G1631" t="s">
        <v>14</v>
      </c>
      <c r="H1631" t="s">
        <v>15</v>
      </c>
      <c r="I1631" t="s">
        <v>43</v>
      </c>
      <c r="J1631" s="2">
        <f>Table1_1[[#This Row],[Sales]]-Table1_1[[#This Row],[Sales]]*Table1_1[[#This Row],[Discount]]</f>
        <v>2167.038</v>
      </c>
      <c r="K1631" s="1">
        <v>45677</v>
      </c>
      <c r="L1631" s="11">
        <v>45681</v>
      </c>
      <c r="M1631">
        <f>DATEDIF(Table1_1[[#This Row],[Order Date]],Table1_1[[#This Row],[Ship Date]],"D")</f>
        <v>4</v>
      </c>
    </row>
    <row r="1632" spans="1:13" x14ac:dyDescent="0.35">
      <c r="A1632" t="s">
        <v>2048</v>
      </c>
      <c r="B1632" t="s">
        <v>84</v>
      </c>
      <c r="C1632" t="s">
        <v>231</v>
      </c>
      <c r="D1632" s="2">
        <v>2360.1</v>
      </c>
      <c r="E1632">
        <v>9</v>
      </c>
      <c r="F1632">
        <v>0.3</v>
      </c>
      <c r="G1632" t="s">
        <v>19</v>
      </c>
      <c r="H1632" t="s">
        <v>21</v>
      </c>
      <c r="I1632" t="s">
        <v>43</v>
      </c>
      <c r="J1632" s="2">
        <f>Table1_1[[#This Row],[Sales]]-Table1_1[[#This Row],[Sales]]*Table1_1[[#This Row],[Discount]]</f>
        <v>1652.07</v>
      </c>
      <c r="K1632" s="1">
        <v>45327</v>
      </c>
      <c r="L1632" s="11">
        <v>45330</v>
      </c>
      <c r="M1632">
        <f>DATEDIF(Table1_1[[#This Row],[Order Date]],Table1_1[[#This Row],[Ship Date]],"D")</f>
        <v>3</v>
      </c>
    </row>
    <row r="1633" spans="1:13" x14ac:dyDescent="0.35">
      <c r="A1633" t="s">
        <v>2049</v>
      </c>
      <c r="B1633" t="s">
        <v>110</v>
      </c>
      <c r="C1633" t="s">
        <v>148</v>
      </c>
      <c r="D1633" s="2">
        <v>1890.99</v>
      </c>
      <c r="E1633">
        <v>8</v>
      </c>
      <c r="F1633">
        <v>0.2</v>
      </c>
      <c r="G1633" t="s">
        <v>14</v>
      </c>
      <c r="H1633" t="s">
        <v>15</v>
      </c>
      <c r="I1633" t="s">
        <v>16</v>
      </c>
      <c r="J1633" s="2">
        <f>Table1_1[[#This Row],[Sales]]-Table1_1[[#This Row],[Sales]]*Table1_1[[#This Row],[Discount]]</f>
        <v>1512.7919999999999</v>
      </c>
      <c r="K1633" s="1">
        <v>45686</v>
      </c>
      <c r="L1633" s="11">
        <v>45690</v>
      </c>
      <c r="M1633">
        <f>DATEDIF(Table1_1[[#This Row],[Order Date]],Table1_1[[#This Row],[Ship Date]],"D")</f>
        <v>4</v>
      </c>
    </row>
    <row r="1634" spans="1:13" x14ac:dyDescent="0.35">
      <c r="A1634" t="s">
        <v>2050</v>
      </c>
      <c r="B1634" t="s">
        <v>162</v>
      </c>
      <c r="C1634" t="s">
        <v>357</v>
      </c>
      <c r="D1634" s="2">
        <v>831.2</v>
      </c>
      <c r="E1634">
        <v>7</v>
      </c>
      <c r="F1634">
        <v>0</v>
      </c>
      <c r="G1634" t="s">
        <v>39</v>
      </c>
      <c r="H1634" t="s">
        <v>21</v>
      </c>
      <c r="I1634" t="s">
        <v>16</v>
      </c>
      <c r="J1634" s="2">
        <f>Table1_1[[#This Row],[Sales]]-Table1_1[[#This Row],[Sales]]*Table1_1[[#This Row],[Discount]]</f>
        <v>831.2</v>
      </c>
      <c r="K1634" s="1">
        <v>45004</v>
      </c>
      <c r="L1634" s="11">
        <v>45006</v>
      </c>
      <c r="M1634">
        <f>DATEDIF(Table1_1[[#This Row],[Order Date]],Table1_1[[#This Row],[Ship Date]],"D")</f>
        <v>2</v>
      </c>
    </row>
    <row r="1635" spans="1:13" x14ac:dyDescent="0.35">
      <c r="A1635" t="s">
        <v>2051</v>
      </c>
      <c r="B1635" t="s">
        <v>165</v>
      </c>
      <c r="C1635" t="s">
        <v>163</v>
      </c>
      <c r="D1635" s="2">
        <v>3223.31</v>
      </c>
      <c r="E1635">
        <v>2</v>
      </c>
      <c r="F1635">
        <v>0</v>
      </c>
      <c r="G1635" t="s">
        <v>14</v>
      </c>
      <c r="H1635" t="s">
        <v>15</v>
      </c>
      <c r="I1635" t="s">
        <v>20</v>
      </c>
      <c r="J1635" s="2">
        <f>Table1_1[[#This Row],[Sales]]-Table1_1[[#This Row],[Sales]]*Table1_1[[#This Row],[Discount]]</f>
        <v>3223.31</v>
      </c>
      <c r="K1635" s="1">
        <v>45294</v>
      </c>
      <c r="L1635" s="11">
        <v>45300</v>
      </c>
      <c r="M1635">
        <f>DATEDIF(Table1_1[[#This Row],[Order Date]],Table1_1[[#This Row],[Ship Date]],"D")</f>
        <v>6</v>
      </c>
    </row>
    <row r="1636" spans="1:13" x14ac:dyDescent="0.35">
      <c r="A1636" t="s">
        <v>2052</v>
      </c>
      <c r="B1636" t="s">
        <v>510</v>
      </c>
      <c r="C1636" t="s">
        <v>254</v>
      </c>
      <c r="D1636" s="2">
        <v>2289.0500000000002</v>
      </c>
      <c r="E1636">
        <v>9</v>
      </c>
      <c r="F1636">
        <v>0.1</v>
      </c>
      <c r="G1636" t="s">
        <v>14</v>
      </c>
      <c r="H1636" t="s">
        <v>15</v>
      </c>
      <c r="I1636" t="s">
        <v>20</v>
      </c>
      <c r="J1636" s="2">
        <f>Table1_1[[#This Row],[Sales]]-Table1_1[[#This Row],[Sales]]*Table1_1[[#This Row],[Discount]]</f>
        <v>2060.145</v>
      </c>
      <c r="K1636" s="1">
        <v>45491</v>
      </c>
      <c r="L1636" s="11">
        <v>45495</v>
      </c>
      <c r="M1636">
        <f>DATEDIF(Table1_1[[#This Row],[Order Date]],Table1_1[[#This Row],[Ship Date]],"D")</f>
        <v>4</v>
      </c>
    </row>
    <row r="1637" spans="1:13" x14ac:dyDescent="0.35">
      <c r="A1637" t="s">
        <v>2053</v>
      </c>
      <c r="B1637" t="s">
        <v>687</v>
      </c>
      <c r="C1637" t="s">
        <v>169</v>
      </c>
      <c r="D1637" s="2">
        <v>1429.56</v>
      </c>
      <c r="E1637">
        <v>10</v>
      </c>
      <c r="F1637">
        <v>0.1</v>
      </c>
      <c r="G1637" t="s">
        <v>39</v>
      </c>
      <c r="H1637" t="s">
        <v>21</v>
      </c>
      <c r="I1637" t="s">
        <v>20</v>
      </c>
      <c r="J1637" s="2">
        <f>Table1_1[[#This Row],[Sales]]-Table1_1[[#This Row],[Sales]]*Table1_1[[#This Row],[Discount]]</f>
        <v>1286.604</v>
      </c>
      <c r="K1637" s="1">
        <v>45456</v>
      </c>
      <c r="L1637" s="11">
        <v>45460</v>
      </c>
      <c r="M1637">
        <f>DATEDIF(Table1_1[[#This Row],[Order Date]],Table1_1[[#This Row],[Ship Date]],"D")</f>
        <v>4</v>
      </c>
    </row>
    <row r="1638" spans="1:13" x14ac:dyDescent="0.35">
      <c r="A1638" t="s">
        <v>2054</v>
      </c>
      <c r="B1638" t="s">
        <v>1279</v>
      </c>
      <c r="C1638" t="s">
        <v>246</v>
      </c>
      <c r="D1638" s="2">
        <v>295.61</v>
      </c>
      <c r="E1638">
        <v>5</v>
      </c>
      <c r="F1638">
        <v>0</v>
      </c>
      <c r="G1638" t="s">
        <v>14</v>
      </c>
      <c r="H1638" t="s">
        <v>21</v>
      </c>
      <c r="I1638" t="s">
        <v>20</v>
      </c>
      <c r="J1638" s="2">
        <f>Table1_1[[#This Row],[Sales]]-Table1_1[[#This Row],[Sales]]*Table1_1[[#This Row],[Discount]]</f>
        <v>295.61</v>
      </c>
      <c r="K1638" s="1">
        <v>45380</v>
      </c>
      <c r="L1638" s="11">
        <v>45386</v>
      </c>
      <c r="M1638">
        <f>DATEDIF(Table1_1[[#This Row],[Order Date]],Table1_1[[#This Row],[Ship Date]],"D")</f>
        <v>6</v>
      </c>
    </row>
    <row r="1639" spans="1:13" x14ac:dyDescent="0.35">
      <c r="A1639" t="s">
        <v>2055</v>
      </c>
      <c r="B1639" t="s">
        <v>54</v>
      </c>
      <c r="C1639" t="s">
        <v>135</v>
      </c>
      <c r="D1639" s="2">
        <v>3211.35</v>
      </c>
      <c r="E1639">
        <v>8</v>
      </c>
      <c r="F1639">
        <v>0.2</v>
      </c>
      <c r="G1639" t="s">
        <v>14</v>
      </c>
      <c r="H1639" t="s">
        <v>15</v>
      </c>
      <c r="I1639" t="s">
        <v>43</v>
      </c>
      <c r="J1639" s="2">
        <f>Table1_1[[#This Row],[Sales]]-Table1_1[[#This Row],[Sales]]*Table1_1[[#This Row],[Discount]]</f>
        <v>2569.08</v>
      </c>
      <c r="K1639" s="1">
        <v>45070</v>
      </c>
      <c r="L1639" s="11">
        <v>45075</v>
      </c>
      <c r="M1639">
        <f>DATEDIF(Table1_1[[#This Row],[Order Date]],Table1_1[[#This Row],[Ship Date]],"D")</f>
        <v>5</v>
      </c>
    </row>
    <row r="1640" spans="1:13" x14ac:dyDescent="0.35">
      <c r="A1640" t="s">
        <v>2056</v>
      </c>
      <c r="B1640" t="s">
        <v>122</v>
      </c>
      <c r="C1640" t="s">
        <v>105</v>
      </c>
      <c r="D1640" s="2">
        <v>3801.44</v>
      </c>
      <c r="E1640">
        <v>6</v>
      </c>
      <c r="F1640">
        <v>0.3</v>
      </c>
      <c r="G1640" t="s">
        <v>39</v>
      </c>
      <c r="H1640" t="s">
        <v>15</v>
      </c>
      <c r="I1640" t="s">
        <v>20</v>
      </c>
      <c r="J1640" s="2">
        <f>Table1_1[[#This Row],[Sales]]-Table1_1[[#This Row],[Sales]]*Table1_1[[#This Row],[Discount]]</f>
        <v>2661.0079999999998</v>
      </c>
      <c r="K1640" s="1">
        <v>45803</v>
      </c>
      <c r="L1640" s="11">
        <v>45809</v>
      </c>
      <c r="M1640">
        <f>DATEDIF(Table1_1[[#This Row],[Order Date]],Table1_1[[#This Row],[Ship Date]],"D")</f>
        <v>6</v>
      </c>
    </row>
    <row r="1641" spans="1:13" x14ac:dyDescent="0.35">
      <c r="A1641" t="s">
        <v>2057</v>
      </c>
      <c r="B1641" t="s">
        <v>455</v>
      </c>
      <c r="C1641" t="s">
        <v>246</v>
      </c>
      <c r="D1641" s="2">
        <v>3862.76</v>
      </c>
      <c r="E1641">
        <v>7</v>
      </c>
      <c r="F1641">
        <v>0.1</v>
      </c>
      <c r="G1641" t="s">
        <v>39</v>
      </c>
      <c r="H1641" t="s">
        <v>21</v>
      </c>
      <c r="I1641" t="s">
        <v>16</v>
      </c>
      <c r="J1641" s="2">
        <f>Table1_1[[#This Row],[Sales]]-Table1_1[[#This Row],[Sales]]*Table1_1[[#This Row],[Discount]]</f>
        <v>3476.4840000000004</v>
      </c>
      <c r="K1641" s="1">
        <v>45615</v>
      </c>
      <c r="L1641" s="11">
        <v>45617</v>
      </c>
      <c r="M1641">
        <f>DATEDIF(Table1_1[[#This Row],[Order Date]],Table1_1[[#This Row],[Ship Date]],"D")</f>
        <v>2</v>
      </c>
    </row>
    <row r="1642" spans="1:13" x14ac:dyDescent="0.35">
      <c r="A1642" t="s">
        <v>2058</v>
      </c>
      <c r="B1642" t="s">
        <v>538</v>
      </c>
      <c r="C1642" t="s">
        <v>42</v>
      </c>
      <c r="D1642" s="2">
        <v>3116.25</v>
      </c>
      <c r="E1642">
        <v>8</v>
      </c>
      <c r="F1642">
        <v>0.2</v>
      </c>
      <c r="G1642" t="s">
        <v>39</v>
      </c>
      <c r="H1642" t="s">
        <v>15</v>
      </c>
      <c r="I1642" t="s">
        <v>20</v>
      </c>
      <c r="J1642" s="2">
        <f>Table1_1[[#This Row],[Sales]]-Table1_1[[#This Row],[Sales]]*Table1_1[[#This Row],[Discount]]</f>
        <v>2493</v>
      </c>
      <c r="K1642" s="1">
        <v>45441</v>
      </c>
      <c r="L1642" s="11">
        <v>45446</v>
      </c>
      <c r="M1642">
        <f>DATEDIF(Table1_1[[#This Row],[Order Date]],Table1_1[[#This Row],[Ship Date]],"D")</f>
        <v>5</v>
      </c>
    </row>
    <row r="1643" spans="1:13" x14ac:dyDescent="0.35">
      <c r="A1643" t="s">
        <v>2059</v>
      </c>
      <c r="B1643" t="s">
        <v>1034</v>
      </c>
      <c r="C1643" t="s">
        <v>148</v>
      </c>
      <c r="D1643" s="2">
        <v>3754.33</v>
      </c>
      <c r="E1643">
        <v>6</v>
      </c>
      <c r="F1643">
        <v>0</v>
      </c>
      <c r="G1643" t="s">
        <v>39</v>
      </c>
      <c r="H1643" t="s">
        <v>21</v>
      </c>
      <c r="I1643" t="s">
        <v>16</v>
      </c>
      <c r="J1643" s="2">
        <f>Table1_1[[#This Row],[Sales]]-Table1_1[[#This Row],[Sales]]*Table1_1[[#This Row],[Discount]]</f>
        <v>3754.33</v>
      </c>
      <c r="K1643" s="1">
        <v>45273</v>
      </c>
      <c r="L1643" s="11">
        <v>45278</v>
      </c>
      <c r="M1643">
        <f>DATEDIF(Table1_1[[#This Row],[Order Date]],Table1_1[[#This Row],[Ship Date]],"D")</f>
        <v>5</v>
      </c>
    </row>
    <row r="1644" spans="1:13" x14ac:dyDescent="0.35">
      <c r="A1644" t="s">
        <v>2060</v>
      </c>
      <c r="B1644" t="s">
        <v>928</v>
      </c>
      <c r="C1644" t="s">
        <v>726</v>
      </c>
      <c r="D1644" s="2">
        <v>4997.78</v>
      </c>
      <c r="E1644">
        <v>3</v>
      </c>
      <c r="F1644">
        <v>0</v>
      </c>
      <c r="G1644" t="s">
        <v>19</v>
      </c>
      <c r="H1644" t="s">
        <v>21</v>
      </c>
      <c r="I1644" t="s">
        <v>43</v>
      </c>
      <c r="J1644" s="2">
        <f>Table1_1[[#This Row],[Sales]]-Table1_1[[#This Row],[Sales]]*Table1_1[[#This Row],[Discount]]</f>
        <v>4997.78</v>
      </c>
      <c r="K1644" s="1">
        <v>45430</v>
      </c>
      <c r="L1644" s="11">
        <v>45433</v>
      </c>
      <c r="M1644">
        <f>DATEDIF(Table1_1[[#This Row],[Order Date]],Table1_1[[#This Row],[Ship Date]],"D")</f>
        <v>3</v>
      </c>
    </row>
    <row r="1645" spans="1:13" x14ac:dyDescent="0.35">
      <c r="A1645" t="s">
        <v>2061</v>
      </c>
      <c r="B1645" t="s">
        <v>1042</v>
      </c>
      <c r="C1645" t="s">
        <v>42</v>
      </c>
      <c r="D1645" s="2">
        <v>4492.91</v>
      </c>
      <c r="E1645">
        <v>1</v>
      </c>
      <c r="F1645">
        <v>0.3</v>
      </c>
      <c r="G1645" t="s">
        <v>14</v>
      </c>
      <c r="H1645" t="s">
        <v>21</v>
      </c>
      <c r="I1645" t="s">
        <v>20</v>
      </c>
      <c r="J1645" s="2">
        <f>Table1_1[[#This Row],[Sales]]-Table1_1[[#This Row],[Sales]]*Table1_1[[#This Row],[Discount]]</f>
        <v>3145.0370000000003</v>
      </c>
      <c r="K1645" s="1">
        <v>45195</v>
      </c>
      <c r="L1645" s="11">
        <v>45197</v>
      </c>
      <c r="M1645">
        <f>DATEDIF(Table1_1[[#This Row],[Order Date]],Table1_1[[#This Row],[Ship Date]],"D")</f>
        <v>2</v>
      </c>
    </row>
    <row r="1646" spans="1:13" x14ac:dyDescent="0.35">
      <c r="A1646" t="s">
        <v>2062</v>
      </c>
      <c r="B1646" t="s">
        <v>18</v>
      </c>
      <c r="C1646" t="s">
        <v>726</v>
      </c>
      <c r="D1646" s="2">
        <v>2331.65</v>
      </c>
      <c r="E1646">
        <v>8</v>
      </c>
      <c r="F1646">
        <v>0.3</v>
      </c>
      <c r="G1646" t="s">
        <v>39</v>
      </c>
      <c r="H1646" t="s">
        <v>21</v>
      </c>
      <c r="I1646" t="s">
        <v>16</v>
      </c>
      <c r="J1646" s="2">
        <f>Table1_1[[#This Row],[Sales]]-Table1_1[[#This Row],[Sales]]*Table1_1[[#This Row],[Discount]]</f>
        <v>1632.1550000000002</v>
      </c>
      <c r="K1646" s="1">
        <v>45248</v>
      </c>
      <c r="L1646" s="11">
        <v>45252</v>
      </c>
      <c r="M1646">
        <f>DATEDIF(Table1_1[[#This Row],[Order Date]],Table1_1[[#This Row],[Ship Date]],"D")</f>
        <v>4</v>
      </c>
    </row>
    <row r="1647" spans="1:13" x14ac:dyDescent="0.35">
      <c r="A1647" t="s">
        <v>2063</v>
      </c>
      <c r="B1647" t="s">
        <v>331</v>
      </c>
      <c r="C1647" t="s">
        <v>223</v>
      </c>
      <c r="D1647" s="2">
        <v>4167.5600000000004</v>
      </c>
      <c r="E1647">
        <v>9</v>
      </c>
      <c r="F1647">
        <v>0.3</v>
      </c>
      <c r="G1647" t="s">
        <v>19</v>
      </c>
      <c r="H1647" t="s">
        <v>15</v>
      </c>
      <c r="I1647" t="s">
        <v>20</v>
      </c>
      <c r="J1647" s="2">
        <f>Table1_1[[#This Row],[Sales]]-Table1_1[[#This Row],[Sales]]*Table1_1[[#This Row],[Discount]]</f>
        <v>2917.2920000000004</v>
      </c>
      <c r="K1647" s="1">
        <v>45647</v>
      </c>
      <c r="L1647" s="11">
        <v>45649</v>
      </c>
      <c r="M1647">
        <f>DATEDIF(Table1_1[[#This Row],[Order Date]],Table1_1[[#This Row],[Ship Date]],"D")</f>
        <v>2</v>
      </c>
    </row>
    <row r="1648" spans="1:13" x14ac:dyDescent="0.35">
      <c r="A1648" t="s">
        <v>2064</v>
      </c>
      <c r="B1648" t="s">
        <v>629</v>
      </c>
      <c r="C1648" t="s">
        <v>128</v>
      </c>
      <c r="D1648" s="2">
        <v>2109.2800000000002</v>
      </c>
      <c r="E1648">
        <v>4</v>
      </c>
      <c r="F1648">
        <v>0.3</v>
      </c>
      <c r="G1648" t="s">
        <v>14</v>
      </c>
      <c r="H1648" t="s">
        <v>15</v>
      </c>
      <c r="I1648" t="s">
        <v>20</v>
      </c>
      <c r="J1648" s="2">
        <f>Table1_1[[#This Row],[Sales]]-Table1_1[[#This Row],[Sales]]*Table1_1[[#This Row],[Discount]]</f>
        <v>1476.4960000000001</v>
      </c>
      <c r="K1648" s="1">
        <v>44941</v>
      </c>
      <c r="L1648" s="11">
        <v>44946</v>
      </c>
      <c r="M1648">
        <f>DATEDIF(Table1_1[[#This Row],[Order Date]],Table1_1[[#This Row],[Ship Date]],"D")</f>
        <v>5</v>
      </c>
    </row>
    <row r="1649" spans="1:13" x14ac:dyDescent="0.35">
      <c r="A1649" t="s">
        <v>2065</v>
      </c>
      <c r="B1649" t="s">
        <v>420</v>
      </c>
      <c r="C1649" t="s">
        <v>251</v>
      </c>
      <c r="D1649" s="2">
        <v>787.16</v>
      </c>
      <c r="E1649">
        <v>2</v>
      </c>
      <c r="F1649">
        <v>0.2</v>
      </c>
      <c r="G1649" t="s">
        <v>39</v>
      </c>
      <c r="H1649" t="s">
        <v>21</v>
      </c>
      <c r="I1649" t="s">
        <v>20</v>
      </c>
      <c r="J1649" s="2">
        <f>Table1_1[[#This Row],[Sales]]-Table1_1[[#This Row],[Sales]]*Table1_1[[#This Row],[Discount]]</f>
        <v>629.72799999999995</v>
      </c>
      <c r="K1649" s="1">
        <v>45345</v>
      </c>
      <c r="L1649" s="11">
        <v>45350</v>
      </c>
      <c r="M1649">
        <f>DATEDIF(Table1_1[[#This Row],[Order Date]],Table1_1[[#This Row],[Ship Date]],"D")</f>
        <v>5</v>
      </c>
    </row>
    <row r="1650" spans="1:13" x14ac:dyDescent="0.35">
      <c r="A1650" t="s">
        <v>2066</v>
      </c>
      <c r="B1650" t="s">
        <v>107</v>
      </c>
      <c r="C1650" t="s">
        <v>185</v>
      </c>
      <c r="D1650" s="2">
        <v>450.96</v>
      </c>
      <c r="E1650">
        <v>4</v>
      </c>
      <c r="F1650">
        <v>0</v>
      </c>
      <c r="G1650" t="s">
        <v>14</v>
      </c>
      <c r="H1650" t="s">
        <v>15</v>
      </c>
      <c r="I1650" t="s">
        <v>20</v>
      </c>
      <c r="J1650" s="2">
        <f>Table1_1[[#This Row],[Sales]]-Table1_1[[#This Row],[Sales]]*Table1_1[[#This Row],[Discount]]</f>
        <v>450.96</v>
      </c>
      <c r="K1650" s="1">
        <v>45086</v>
      </c>
      <c r="L1650" s="11">
        <v>45088</v>
      </c>
      <c r="M1650">
        <f>DATEDIF(Table1_1[[#This Row],[Order Date]],Table1_1[[#This Row],[Ship Date]],"D")</f>
        <v>2</v>
      </c>
    </row>
    <row r="1651" spans="1:13" x14ac:dyDescent="0.35">
      <c r="A1651" t="s">
        <v>2067</v>
      </c>
      <c r="B1651" t="s">
        <v>661</v>
      </c>
      <c r="C1651" t="s">
        <v>254</v>
      </c>
      <c r="D1651" s="2">
        <v>4410.1099999999997</v>
      </c>
      <c r="E1651">
        <v>6</v>
      </c>
      <c r="F1651">
        <v>0</v>
      </c>
      <c r="G1651" t="s">
        <v>39</v>
      </c>
      <c r="H1651" t="s">
        <v>15</v>
      </c>
      <c r="I1651" t="s">
        <v>43</v>
      </c>
      <c r="J1651" s="2">
        <f>Table1_1[[#This Row],[Sales]]-Table1_1[[#This Row],[Sales]]*Table1_1[[#This Row],[Discount]]</f>
        <v>4410.1099999999997</v>
      </c>
      <c r="K1651" s="1">
        <v>45620</v>
      </c>
      <c r="L1651" s="11">
        <v>45623</v>
      </c>
      <c r="M1651">
        <f>DATEDIF(Table1_1[[#This Row],[Order Date]],Table1_1[[#This Row],[Ship Date]],"D")</f>
        <v>3</v>
      </c>
    </row>
    <row r="1652" spans="1:13" x14ac:dyDescent="0.35">
      <c r="A1652" t="s">
        <v>2068</v>
      </c>
      <c r="B1652" t="s">
        <v>505</v>
      </c>
      <c r="C1652" t="s">
        <v>113</v>
      </c>
      <c r="D1652" s="2">
        <v>2851.3</v>
      </c>
      <c r="E1652">
        <v>8</v>
      </c>
      <c r="F1652">
        <v>0</v>
      </c>
      <c r="G1652" t="s">
        <v>39</v>
      </c>
      <c r="H1652" t="s">
        <v>21</v>
      </c>
      <c r="I1652" t="s">
        <v>16</v>
      </c>
      <c r="J1652" s="2">
        <f>Table1_1[[#This Row],[Sales]]-Table1_1[[#This Row],[Sales]]*Table1_1[[#This Row],[Discount]]</f>
        <v>2851.3</v>
      </c>
      <c r="K1652" s="1">
        <v>45000</v>
      </c>
      <c r="L1652" s="11">
        <v>45002</v>
      </c>
      <c r="M1652">
        <f>DATEDIF(Table1_1[[#This Row],[Order Date]],Table1_1[[#This Row],[Ship Date]],"D")</f>
        <v>2</v>
      </c>
    </row>
    <row r="1653" spans="1:13" x14ac:dyDescent="0.35">
      <c r="A1653" t="s">
        <v>2069</v>
      </c>
      <c r="B1653" t="s">
        <v>627</v>
      </c>
      <c r="C1653" t="s">
        <v>169</v>
      </c>
      <c r="D1653" s="2">
        <v>2833.92</v>
      </c>
      <c r="E1653">
        <v>3</v>
      </c>
      <c r="F1653">
        <v>0.2</v>
      </c>
      <c r="G1653" t="s">
        <v>39</v>
      </c>
      <c r="H1653" t="s">
        <v>15</v>
      </c>
      <c r="I1653" t="s">
        <v>16</v>
      </c>
      <c r="J1653" s="2">
        <f>Table1_1[[#This Row],[Sales]]-Table1_1[[#This Row],[Sales]]*Table1_1[[#This Row],[Discount]]</f>
        <v>2267.136</v>
      </c>
      <c r="K1653" s="1">
        <v>45471</v>
      </c>
      <c r="L1653" s="11">
        <v>45477</v>
      </c>
      <c r="M1653">
        <f>DATEDIF(Table1_1[[#This Row],[Order Date]],Table1_1[[#This Row],[Ship Date]],"D")</f>
        <v>6</v>
      </c>
    </row>
    <row r="1654" spans="1:13" x14ac:dyDescent="0.35">
      <c r="A1654" t="s">
        <v>2070</v>
      </c>
      <c r="B1654" t="s">
        <v>196</v>
      </c>
      <c r="C1654" t="s">
        <v>259</v>
      </c>
      <c r="D1654" s="2">
        <v>4267.43</v>
      </c>
      <c r="E1654">
        <v>9</v>
      </c>
      <c r="F1654">
        <v>0.2</v>
      </c>
      <c r="G1654" t="s">
        <v>14</v>
      </c>
      <c r="H1654" t="s">
        <v>21</v>
      </c>
      <c r="I1654" t="s">
        <v>20</v>
      </c>
      <c r="J1654" s="2">
        <f>Table1_1[[#This Row],[Sales]]-Table1_1[[#This Row],[Sales]]*Table1_1[[#This Row],[Discount]]</f>
        <v>3413.9440000000004</v>
      </c>
      <c r="K1654" s="1">
        <v>45499</v>
      </c>
      <c r="L1654" s="11">
        <v>45501</v>
      </c>
      <c r="M1654">
        <f>DATEDIF(Table1_1[[#This Row],[Order Date]],Table1_1[[#This Row],[Ship Date]],"D")</f>
        <v>2</v>
      </c>
    </row>
    <row r="1655" spans="1:13" x14ac:dyDescent="0.35">
      <c r="A1655" t="s">
        <v>2071</v>
      </c>
      <c r="B1655" t="s">
        <v>213</v>
      </c>
      <c r="C1655" t="s">
        <v>273</v>
      </c>
      <c r="D1655" s="2">
        <v>2493.91</v>
      </c>
      <c r="E1655">
        <v>1</v>
      </c>
      <c r="F1655">
        <v>0</v>
      </c>
      <c r="G1655" t="s">
        <v>19</v>
      </c>
      <c r="H1655" t="s">
        <v>15</v>
      </c>
      <c r="I1655" t="s">
        <v>20</v>
      </c>
      <c r="J1655" s="2">
        <f>Table1_1[[#This Row],[Sales]]-Table1_1[[#This Row],[Sales]]*Table1_1[[#This Row],[Discount]]</f>
        <v>2493.91</v>
      </c>
      <c r="K1655" s="1">
        <v>45804</v>
      </c>
      <c r="L1655" s="11">
        <v>45807</v>
      </c>
      <c r="M1655">
        <f>DATEDIF(Table1_1[[#This Row],[Order Date]],Table1_1[[#This Row],[Ship Date]],"D")</f>
        <v>3</v>
      </c>
    </row>
    <row r="1656" spans="1:13" x14ac:dyDescent="0.35">
      <c r="A1656" t="s">
        <v>2072</v>
      </c>
      <c r="B1656" t="s">
        <v>801</v>
      </c>
      <c r="C1656" t="s">
        <v>696</v>
      </c>
      <c r="D1656" s="2">
        <v>3029.8</v>
      </c>
      <c r="E1656">
        <v>8</v>
      </c>
      <c r="F1656">
        <v>0</v>
      </c>
      <c r="G1656" t="s">
        <v>14</v>
      </c>
      <c r="H1656" t="s">
        <v>21</v>
      </c>
      <c r="I1656" t="s">
        <v>43</v>
      </c>
      <c r="J1656" s="2">
        <f>Table1_1[[#This Row],[Sales]]-Table1_1[[#This Row],[Sales]]*Table1_1[[#This Row],[Discount]]</f>
        <v>3029.8</v>
      </c>
      <c r="K1656" s="1">
        <v>45199</v>
      </c>
      <c r="L1656" s="11">
        <v>45202</v>
      </c>
      <c r="M1656">
        <f>DATEDIF(Table1_1[[#This Row],[Order Date]],Table1_1[[#This Row],[Ship Date]],"D")</f>
        <v>3</v>
      </c>
    </row>
    <row r="1657" spans="1:13" x14ac:dyDescent="0.35">
      <c r="A1657" t="s">
        <v>2073</v>
      </c>
      <c r="B1657" t="s">
        <v>846</v>
      </c>
      <c r="C1657" t="s">
        <v>99</v>
      </c>
      <c r="D1657" s="2">
        <v>3672.35</v>
      </c>
      <c r="E1657">
        <v>6</v>
      </c>
      <c r="F1657">
        <v>0.2</v>
      </c>
      <c r="G1657" t="s">
        <v>19</v>
      </c>
      <c r="H1657" t="s">
        <v>21</v>
      </c>
      <c r="I1657" t="s">
        <v>43</v>
      </c>
      <c r="J1657" s="2">
        <f>Table1_1[[#This Row],[Sales]]-Table1_1[[#This Row],[Sales]]*Table1_1[[#This Row],[Discount]]</f>
        <v>2937.88</v>
      </c>
      <c r="K1657" s="1">
        <v>45430</v>
      </c>
      <c r="L1657" s="11">
        <v>45432</v>
      </c>
      <c r="M1657">
        <f>DATEDIF(Table1_1[[#This Row],[Order Date]],Table1_1[[#This Row],[Ship Date]],"D")</f>
        <v>2</v>
      </c>
    </row>
    <row r="1658" spans="1:13" x14ac:dyDescent="0.35">
      <c r="A1658" t="s">
        <v>2074</v>
      </c>
      <c r="B1658" t="s">
        <v>349</v>
      </c>
      <c r="C1658" t="s">
        <v>231</v>
      </c>
      <c r="D1658" s="2">
        <v>2268.06</v>
      </c>
      <c r="E1658">
        <v>1</v>
      </c>
      <c r="F1658">
        <v>0.1</v>
      </c>
      <c r="G1658" t="s">
        <v>39</v>
      </c>
      <c r="H1658" t="s">
        <v>21</v>
      </c>
      <c r="I1658" t="s">
        <v>20</v>
      </c>
      <c r="J1658" s="2">
        <f>Table1_1[[#This Row],[Sales]]-Table1_1[[#This Row],[Sales]]*Table1_1[[#This Row],[Discount]]</f>
        <v>2041.2539999999999</v>
      </c>
      <c r="K1658" s="1">
        <v>45211</v>
      </c>
      <c r="L1658" s="11">
        <v>45214</v>
      </c>
      <c r="M1658">
        <f>DATEDIF(Table1_1[[#This Row],[Order Date]],Table1_1[[#This Row],[Ship Date]],"D")</f>
        <v>3</v>
      </c>
    </row>
    <row r="1659" spans="1:13" x14ac:dyDescent="0.35">
      <c r="A1659" t="s">
        <v>2075</v>
      </c>
      <c r="B1659" t="s">
        <v>18</v>
      </c>
      <c r="C1659" t="s">
        <v>220</v>
      </c>
      <c r="D1659" s="2">
        <v>1235.9100000000001</v>
      </c>
      <c r="E1659">
        <v>8</v>
      </c>
      <c r="F1659">
        <v>0</v>
      </c>
      <c r="G1659" t="s">
        <v>19</v>
      </c>
      <c r="H1659" t="s">
        <v>21</v>
      </c>
      <c r="I1659" t="s">
        <v>16</v>
      </c>
      <c r="J1659" s="2">
        <f>Table1_1[[#This Row],[Sales]]-Table1_1[[#This Row],[Sales]]*Table1_1[[#This Row],[Discount]]</f>
        <v>1235.9100000000001</v>
      </c>
      <c r="K1659" s="1">
        <v>45172</v>
      </c>
      <c r="L1659" s="11">
        <v>45175</v>
      </c>
      <c r="M1659">
        <f>DATEDIF(Table1_1[[#This Row],[Order Date]],Table1_1[[#This Row],[Ship Date]],"D")</f>
        <v>3</v>
      </c>
    </row>
    <row r="1660" spans="1:13" x14ac:dyDescent="0.35">
      <c r="A1660" t="s">
        <v>2076</v>
      </c>
      <c r="B1660" t="s">
        <v>661</v>
      </c>
      <c r="C1660" t="s">
        <v>178</v>
      </c>
      <c r="D1660" s="2">
        <v>1522.46</v>
      </c>
      <c r="E1660">
        <v>5</v>
      </c>
      <c r="F1660">
        <v>0.1</v>
      </c>
      <c r="G1660" t="s">
        <v>19</v>
      </c>
      <c r="H1660" t="s">
        <v>15</v>
      </c>
      <c r="I1660" t="s">
        <v>43</v>
      </c>
      <c r="J1660" s="2">
        <f>Table1_1[[#This Row],[Sales]]-Table1_1[[#This Row],[Sales]]*Table1_1[[#This Row],[Discount]]</f>
        <v>1370.2139999999999</v>
      </c>
      <c r="K1660" s="1">
        <v>45135</v>
      </c>
      <c r="L1660" s="11">
        <v>45142</v>
      </c>
      <c r="M1660">
        <f>DATEDIF(Table1_1[[#This Row],[Order Date]],Table1_1[[#This Row],[Ship Date]],"D")</f>
        <v>7</v>
      </c>
    </row>
    <row r="1661" spans="1:13" x14ac:dyDescent="0.35">
      <c r="A1661" t="s">
        <v>2077</v>
      </c>
      <c r="B1661" t="s">
        <v>142</v>
      </c>
      <c r="C1661" t="s">
        <v>148</v>
      </c>
      <c r="D1661" s="2">
        <v>1848.19</v>
      </c>
      <c r="E1661">
        <v>8</v>
      </c>
      <c r="F1661">
        <v>0.3</v>
      </c>
      <c r="G1661" t="s">
        <v>19</v>
      </c>
      <c r="H1661" t="s">
        <v>21</v>
      </c>
      <c r="I1661" t="s">
        <v>43</v>
      </c>
      <c r="J1661" s="2">
        <f>Table1_1[[#This Row],[Sales]]-Table1_1[[#This Row],[Sales]]*Table1_1[[#This Row],[Discount]]</f>
        <v>1293.7330000000002</v>
      </c>
      <c r="K1661" s="1">
        <v>44930</v>
      </c>
      <c r="L1661" s="11">
        <v>44933</v>
      </c>
      <c r="M1661">
        <f>DATEDIF(Table1_1[[#This Row],[Order Date]],Table1_1[[#This Row],[Ship Date]],"D")</f>
        <v>3</v>
      </c>
    </row>
    <row r="1662" spans="1:13" x14ac:dyDescent="0.35">
      <c r="A1662" t="s">
        <v>2078</v>
      </c>
      <c r="B1662" t="s">
        <v>130</v>
      </c>
      <c r="C1662" t="s">
        <v>262</v>
      </c>
      <c r="D1662" s="2">
        <v>4499.25</v>
      </c>
      <c r="E1662">
        <v>1</v>
      </c>
      <c r="F1662">
        <v>0</v>
      </c>
      <c r="G1662" t="s">
        <v>19</v>
      </c>
      <c r="H1662" t="s">
        <v>15</v>
      </c>
      <c r="I1662" t="s">
        <v>43</v>
      </c>
      <c r="J1662" s="2">
        <f>Table1_1[[#This Row],[Sales]]-Table1_1[[#This Row],[Sales]]*Table1_1[[#This Row],[Discount]]</f>
        <v>4499.25</v>
      </c>
      <c r="K1662" s="1">
        <v>45576</v>
      </c>
      <c r="L1662" s="11">
        <v>45580</v>
      </c>
      <c r="M1662">
        <f>DATEDIF(Table1_1[[#This Row],[Order Date]],Table1_1[[#This Row],[Ship Date]],"D")</f>
        <v>4</v>
      </c>
    </row>
    <row r="1663" spans="1:13" x14ac:dyDescent="0.35">
      <c r="A1663" t="s">
        <v>2079</v>
      </c>
      <c r="B1663" t="s">
        <v>1529</v>
      </c>
      <c r="C1663" t="s">
        <v>458</v>
      </c>
      <c r="D1663" s="2">
        <v>777.67</v>
      </c>
      <c r="E1663">
        <v>2</v>
      </c>
      <c r="F1663">
        <v>0</v>
      </c>
      <c r="G1663" t="s">
        <v>39</v>
      </c>
      <c r="H1663" t="s">
        <v>15</v>
      </c>
      <c r="I1663" t="s">
        <v>20</v>
      </c>
      <c r="J1663" s="2">
        <f>Table1_1[[#This Row],[Sales]]-Table1_1[[#This Row],[Sales]]*Table1_1[[#This Row],[Discount]]</f>
        <v>777.67</v>
      </c>
      <c r="K1663" s="1">
        <v>45303</v>
      </c>
      <c r="L1663" s="11">
        <v>45309</v>
      </c>
      <c r="M1663">
        <f>DATEDIF(Table1_1[[#This Row],[Order Date]],Table1_1[[#This Row],[Ship Date]],"D")</f>
        <v>6</v>
      </c>
    </row>
    <row r="1664" spans="1:13" x14ac:dyDescent="0.35">
      <c r="A1664" t="s">
        <v>2080</v>
      </c>
      <c r="B1664" t="s">
        <v>380</v>
      </c>
      <c r="C1664" t="s">
        <v>756</v>
      </c>
      <c r="D1664" s="2">
        <v>1754.78</v>
      </c>
      <c r="E1664">
        <v>1</v>
      </c>
      <c r="F1664">
        <v>0.3</v>
      </c>
      <c r="G1664" t="s">
        <v>14</v>
      </c>
      <c r="H1664" t="s">
        <v>15</v>
      </c>
      <c r="I1664" t="s">
        <v>43</v>
      </c>
      <c r="J1664" s="2">
        <f>Table1_1[[#This Row],[Sales]]-Table1_1[[#This Row],[Sales]]*Table1_1[[#This Row],[Discount]]</f>
        <v>1228.346</v>
      </c>
      <c r="K1664" s="1">
        <v>45346</v>
      </c>
      <c r="L1664" s="11">
        <v>45353</v>
      </c>
      <c r="M1664">
        <f>DATEDIF(Table1_1[[#This Row],[Order Date]],Table1_1[[#This Row],[Ship Date]],"D")</f>
        <v>7</v>
      </c>
    </row>
    <row r="1665" spans="1:13" x14ac:dyDescent="0.35">
      <c r="A1665" t="s">
        <v>2081</v>
      </c>
      <c r="B1665" t="s">
        <v>702</v>
      </c>
      <c r="C1665" t="s">
        <v>166</v>
      </c>
      <c r="D1665" s="2">
        <v>2356.27</v>
      </c>
      <c r="E1665">
        <v>5</v>
      </c>
      <c r="F1665">
        <v>0.1</v>
      </c>
      <c r="G1665" t="s">
        <v>19</v>
      </c>
      <c r="H1665" t="s">
        <v>15</v>
      </c>
      <c r="I1665" t="s">
        <v>16</v>
      </c>
      <c r="J1665" s="2">
        <f>Table1_1[[#This Row],[Sales]]-Table1_1[[#This Row],[Sales]]*Table1_1[[#This Row],[Discount]]</f>
        <v>2120.643</v>
      </c>
      <c r="K1665" s="1">
        <v>45090</v>
      </c>
      <c r="L1665" s="11">
        <v>45096</v>
      </c>
      <c r="M1665">
        <f>DATEDIF(Table1_1[[#This Row],[Order Date]],Table1_1[[#This Row],[Ship Date]],"D")</f>
        <v>6</v>
      </c>
    </row>
    <row r="1666" spans="1:13" x14ac:dyDescent="0.35">
      <c r="A1666" t="s">
        <v>2082</v>
      </c>
      <c r="B1666" t="s">
        <v>621</v>
      </c>
      <c r="C1666" t="s">
        <v>207</v>
      </c>
      <c r="D1666" s="2">
        <v>2000.15</v>
      </c>
      <c r="E1666">
        <v>1</v>
      </c>
      <c r="F1666">
        <v>0.2</v>
      </c>
      <c r="G1666" t="s">
        <v>14</v>
      </c>
      <c r="H1666" t="s">
        <v>21</v>
      </c>
      <c r="I1666" t="s">
        <v>16</v>
      </c>
      <c r="J1666" s="2">
        <f>Table1_1[[#This Row],[Sales]]-Table1_1[[#This Row],[Sales]]*Table1_1[[#This Row],[Discount]]</f>
        <v>1600.1200000000001</v>
      </c>
      <c r="K1666" s="1">
        <v>45515</v>
      </c>
      <c r="L1666" s="11">
        <v>45522</v>
      </c>
      <c r="M1666">
        <f>DATEDIF(Table1_1[[#This Row],[Order Date]],Table1_1[[#This Row],[Ship Date]],"D")</f>
        <v>7</v>
      </c>
    </row>
    <row r="1667" spans="1:13" x14ac:dyDescent="0.35">
      <c r="A1667" t="s">
        <v>2083</v>
      </c>
      <c r="B1667" t="s">
        <v>655</v>
      </c>
      <c r="C1667" t="s">
        <v>13</v>
      </c>
      <c r="D1667" s="2">
        <v>542.85</v>
      </c>
      <c r="E1667">
        <v>9</v>
      </c>
      <c r="F1667">
        <v>0.1</v>
      </c>
      <c r="G1667" t="s">
        <v>39</v>
      </c>
      <c r="H1667" t="s">
        <v>21</v>
      </c>
      <c r="I1667" t="s">
        <v>16</v>
      </c>
      <c r="J1667" s="2">
        <f>Table1_1[[#This Row],[Sales]]-Table1_1[[#This Row],[Sales]]*Table1_1[[#This Row],[Discount]]</f>
        <v>488.565</v>
      </c>
      <c r="K1667" s="1">
        <v>45263</v>
      </c>
      <c r="L1667" s="11">
        <v>45268</v>
      </c>
      <c r="M1667">
        <f>DATEDIF(Table1_1[[#This Row],[Order Date]],Table1_1[[#This Row],[Ship Date]],"D")</f>
        <v>5</v>
      </c>
    </row>
    <row r="1668" spans="1:13" x14ac:dyDescent="0.35">
      <c r="A1668" t="s">
        <v>2084</v>
      </c>
      <c r="B1668" t="s">
        <v>117</v>
      </c>
      <c r="C1668" t="s">
        <v>436</v>
      </c>
      <c r="D1668" s="2">
        <v>3666.36</v>
      </c>
      <c r="E1668">
        <v>2</v>
      </c>
      <c r="F1668">
        <v>0</v>
      </c>
      <c r="G1668" t="s">
        <v>19</v>
      </c>
      <c r="H1668" t="s">
        <v>15</v>
      </c>
      <c r="I1668" t="s">
        <v>16</v>
      </c>
      <c r="J1668" s="2">
        <f>Table1_1[[#This Row],[Sales]]-Table1_1[[#This Row],[Sales]]*Table1_1[[#This Row],[Discount]]</f>
        <v>3666.36</v>
      </c>
      <c r="K1668" s="1">
        <v>45555</v>
      </c>
      <c r="L1668" s="11">
        <v>45560</v>
      </c>
      <c r="M1668">
        <f>DATEDIF(Table1_1[[#This Row],[Order Date]],Table1_1[[#This Row],[Ship Date]],"D")</f>
        <v>5</v>
      </c>
    </row>
    <row r="1669" spans="1:13" x14ac:dyDescent="0.35">
      <c r="A1669" t="s">
        <v>2085</v>
      </c>
      <c r="B1669" t="s">
        <v>130</v>
      </c>
      <c r="C1669" t="s">
        <v>31</v>
      </c>
      <c r="D1669" s="2">
        <v>237.57</v>
      </c>
      <c r="E1669">
        <v>2</v>
      </c>
      <c r="F1669">
        <v>0.2</v>
      </c>
      <c r="G1669" t="s">
        <v>14</v>
      </c>
      <c r="H1669" t="s">
        <v>21</v>
      </c>
      <c r="I1669" t="s">
        <v>20</v>
      </c>
      <c r="J1669" s="2">
        <f>Table1_1[[#This Row],[Sales]]-Table1_1[[#This Row],[Sales]]*Table1_1[[#This Row],[Discount]]</f>
        <v>190.05599999999998</v>
      </c>
      <c r="K1669" s="1">
        <v>45283</v>
      </c>
      <c r="L1669" s="11">
        <v>45289</v>
      </c>
      <c r="M1669">
        <f>DATEDIF(Table1_1[[#This Row],[Order Date]],Table1_1[[#This Row],[Ship Date]],"D")</f>
        <v>6</v>
      </c>
    </row>
    <row r="1670" spans="1:13" x14ac:dyDescent="0.35">
      <c r="A1670" t="s">
        <v>2086</v>
      </c>
      <c r="B1670" t="s">
        <v>122</v>
      </c>
      <c r="C1670" t="s">
        <v>128</v>
      </c>
      <c r="D1670" s="2">
        <v>1018.18</v>
      </c>
      <c r="E1670">
        <v>7</v>
      </c>
      <c r="F1670">
        <v>0.3</v>
      </c>
      <c r="G1670" t="s">
        <v>39</v>
      </c>
      <c r="H1670" t="s">
        <v>15</v>
      </c>
      <c r="I1670" t="s">
        <v>20</v>
      </c>
      <c r="J1670" s="2">
        <f>Table1_1[[#This Row],[Sales]]-Table1_1[[#This Row],[Sales]]*Table1_1[[#This Row],[Discount]]</f>
        <v>712.726</v>
      </c>
      <c r="K1670" s="1">
        <v>45430</v>
      </c>
      <c r="L1670" s="11">
        <v>45434</v>
      </c>
      <c r="M1670">
        <f>DATEDIF(Table1_1[[#This Row],[Order Date]],Table1_1[[#This Row],[Ship Date]],"D")</f>
        <v>4</v>
      </c>
    </row>
    <row r="1671" spans="1:13" x14ac:dyDescent="0.35">
      <c r="A1671" t="s">
        <v>2087</v>
      </c>
      <c r="B1671" t="s">
        <v>228</v>
      </c>
      <c r="C1671" t="s">
        <v>450</v>
      </c>
      <c r="D1671" s="2">
        <v>3444.97</v>
      </c>
      <c r="E1671">
        <v>9</v>
      </c>
      <c r="F1671">
        <v>0</v>
      </c>
      <c r="G1671" t="s">
        <v>14</v>
      </c>
      <c r="H1671" t="s">
        <v>15</v>
      </c>
      <c r="I1671" t="s">
        <v>20</v>
      </c>
      <c r="J1671" s="2">
        <f>Table1_1[[#This Row],[Sales]]-Table1_1[[#This Row],[Sales]]*Table1_1[[#This Row],[Discount]]</f>
        <v>3444.97</v>
      </c>
      <c r="K1671" s="1">
        <v>45672</v>
      </c>
      <c r="L1671" s="11">
        <v>45676</v>
      </c>
      <c r="M1671">
        <f>DATEDIF(Table1_1[[#This Row],[Order Date]],Table1_1[[#This Row],[Ship Date]],"D")</f>
        <v>4</v>
      </c>
    </row>
    <row r="1672" spans="1:13" x14ac:dyDescent="0.35">
      <c r="A1672" t="s">
        <v>2088</v>
      </c>
      <c r="B1672" t="s">
        <v>233</v>
      </c>
      <c r="C1672" t="s">
        <v>65</v>
      </c>
      <c r="D1672" s="2">
        <v>3856.46</v>
      </c>
      <c r="E1672">
        <v>3</v>
      </c>
      <c r="F1672">
        <v>0.3</v>
      </c>
      <c r="G1672" t="s">
        <v>14</v>
      </c>
      <c r="H1672" t="s">
        <v>21</v>
      </c>
      <c r="I1672" t="s">
        <v>43</v>
      </c>
      <c r="J1672" s="2">
        <f>Table1_1[[#This Row],[Sales]]-Table1_1[[#This Row],[Sales]]*Table1_1[[#This Row],[Discount]]</f>
        <v>2699.5219999999999</v>
      </c>
      <c r="K1672" s="1">
        <v>45362</v>
      </c>
      <c r="L1672" s="11">
        <v>45366</v>
      </c>
      <c r="M1672">
        <f>DATEDIF(Table1_1[[#This Row],[Order Date]],Table1_1[[#This Row],[Ship Date]],"D")</f>
        <v>4</v>
      </c>
    </row>
    <row r="1673" spans="1:13" x14ac:dyDescent="0.35">
      <c r="A1673" t="s">
        <v>2089</v>
      </c>
      <c r="B1673" t="s">
        <v>159</v>
      </c>
      <c r="C1673" t="s">
        <v>148</v>
      </c>
      <c r="D1673" s="2">
        <v>4710.6400000000003</v>
      </c>
      <c r="E1673">
        <v>9</v>
      </c>
      <c r="F1673">
        <v>0.3</v>
      </c>
      <c r="G1673" t="s">
        <v>19</v>
      </c>
      <c r="H1673" t="s">
        <v>21</v>
      </c>
      <c r="I1673" t="s">
        <v>16</v>
      </c>
      <c r="J1673" s="2">
        <f>Table1_1[[#This Row],[Sales]]-Table1_1[[#This Row],[Sales]]*Table1_1[[#This Row],[Discount]]</f>
        <v>3297.4480000000003</v>
      </c>
      <c r="K1673" s="1">
        <v>45190</v>
      </c>
      <c r="L1673" s="11">
        <v>45192</v>
      </c>
      <c r="M1673">
        <f>DATEDIF(Table1_1[[#This Row],[Order Date]],Table1_1[[#This Row],[Ship Date]],"D")</f>
        <v>2</v>
      </c>
    </row>
    <row r="1674" spans="1:13" x14ac:dyDescent="0.35">
      <c r="A1674" t="s">
        <v>2090</v>
      </c>
      <c r="B1674" t="s">
        <v>637</v>
      </c>
      <c r="C1674" t="s">
        <v>310</v>
      </c>
      <c r="D1674" s="2">
        <v>2789.24</v>
      </c>
      <c r="E1674">
        <v>10</v>
      </c>
      <c r="F1674">
        <v>0.1</v>
      </c>
      <c r="G1674" t="s">
        <v>14</v>
      </c>
      <c r="H1674" t="s">
        <v>15</v>
      </c>
      <c r="I1674" t="s">
        <v>43</v>
      </c>
      <c r="J1674" s="2">
        <f>Table1_1[[#This Row],[Sales]]-Table1_1[[#This Row],[Sales]]*Table1_1[[#This Row],[Discount]]</f>
        <v>2510.3159999999998</v>
      </c>
      <c r="K1674" s="1">
        <v>45615</v>
      </c>
      <c r="L1674" s="11">
        <v>45616</v>
      </c>
      <c r="M1674">
        <f>DATEDIF(Table1_1[[#This Row],[Order Date]],Table1_1[[#This Row],[Ship Date]],"D")</f>
        <v>1</v>
      </c>
    </row>
    <row r="1675" spans="1:13" x14ac:dyDescent="0.35">
      <c r="A1675" t="s">
        <v>2091</v>
      </c>
      <c r="B1675" t="s">
        <v>173</v>
      </c>
      <c r="C1675" t="s">
        <v>26</v>
      </c>
      <c r="D1675" s="2">
        <v>2887.12</v>
      </c>
      <c r="E1675">
        <v>1</v>
      </c>
      <c r="F1675">
        <v>0</v>
      </c>
      <c r="G1675" t="s">
        <v>19</v>
      </c>
      <c r="H1675" t="s">
        <v>21</v>
      </c>
      <c r="I1675" t="s">
        <v>16</v>
      </c>
      <c r="J1675" s="2">
        <f>Table1_1[[#This Row],[Sales]]-Table1_1[[#This Row],[Sales]]*Table1_1[[#This Row],[Discount]]</f>
        <v>2887.12</v>
      </c>
      <c r="K1675" s="1">
        <v>45504</v>
      </c>
      <c r="L1675" s="11">
        <v>45511</v>
      </c>
      <c r="M1675">
        <f>DATEDIF(Table1_1[[#This Row],[Order Date]],Table1_1[[#This Row],[Ship Date]],"D")</f>
        <v>7</v>
      </c>
    </row>
    <row r="1676" spans="1:13" x14ac:dyDescent="0.35">
      <c r="A1676" t="s">
        <v>2092</v>
      </c>
      <c r="B1676" t="s">
        <v>209</v>
      </c>
      <c r="C1676" t="s">
        <v>662</v>
      </c>
      <c r="D1676" s="2">
        <v>4686.68</v>
      </c>
      <c r="E1676">
        <v>2</v>
      </c>
      <c r="F1676">
        <v>0.2</v>
      </c>
      <c r="G1676" t="s">
        <v>14</v>
      </c>
      <c r="H1676" t="s">
        <v>21</v>
      </c>
      <c r="I1676" t="s">
        <v>20</v>
      </c>
      <c r="J1676" s="2">
        <f>Table1_1[[#This Row],[Sales]]-Table1_1[[#This Row],[Sales]]*Table1_1[[#This Row],[Discount]]</f>
        <v>3749.3440000000001</v>
      </c>
      <c r="K1676" s="1">
        <v>45188</v>
      </c>
      <c r="L1676" s="11">
        <v>45195</v>
      </c>
      <c r="M1676">
        <f>DATEDIF(Table1_1[[#This Row],[Order Date]],Table1_1[[#This Row],[Ship Date]],"D")</f>
        <v>7</v>
      </c>
    </row>
    <row r="1677" spans="1:13" x14ac:dyDescent="0.35">
      <c r="A1677" t="s">
        <v>2093</v>
      </c>
      <c r="B1677" t="s">
        <v>721</v>
      </c>
      <c r="C1677" t="s">
        <v>108</v>
      </c>
      <c r="D1677" s="2">
        <v>139.66999999999999</v>
      </c>
      <c r="E1677">
        <v>9</v>
      </c>
      <c r="F1677">
        <v>0.1</v>
      </c>
      <c r="G1677" t="s">
        <v>14</v>
      </c>
      <c r="H1677" t="s">
        <v>15</v>
      </c>
      <c r="I1677" t="s">
        <v>43</v>
      </c>
      <c r="J1677" s="2">
        <f>Table1_1[[#This Row],[Sales]]-Table1_1[[#This Row],[Sales]]*Table1_1[[#This Row],[Discount]]</f>
        <v>125.70299999999999</v>
      </c>
      <c r="K1677" s="1">
        <v>45129</v>
      </c>
      <c r="L1677" s="11">
        <v>45135</v>
      </c>
      <c r="M1677">
        <f>DATEDIF(Table1_1[[#This Row],[Order Date]],Table1_1[[#This Row],[Ship Date]],"D")</f>
        <v>6</v>
      </c>
    </row>
    <row r="1678" spans="1:13" x14ac:dyDescent="0.35">
      <c r="A1678" t="s">
        <v>2094</v>
      </c>
      <c r="B1678" t="s">
        <v>203</v>
      </c>
      <c r="C1678" t="s">
        <v>26</v>
      </c>
      <c r="D1678" s="2">
        <v>1959.61</v>
      </c>
      <c r="E1678">
        <v>7</v>
      </c>
      <c r="F1678">
        <v>0.1</v>
      </c>
      <c r="G1678" t="s">
        <v>14</v>
      </c>
      <c r="H1678" t="s">
        <v>15</v>
      </c>
      <c r="I1678" t="s">
        <v>43</v>
      </c>
      <c r="J1678" s="2">
        <f>Table1_1[[#This Row],[Sales]]-Table1_1[[#This Row],[Sales]]*Table1_1[[#This Row],[Discount]]</f>
        <v>1763.6489999999999</v>
      </c>
      <c r="K1678" s="1">
        <v>45055</v>
      </c>
      <c r="L1678" s="11">
        <v>45061</v>
      </c>
      <c r="M1678">
        <f>DATEDIF(Table1_1[[#This Row],[Order Date]],Table1_1[[#This Row],[Ship Date]],"D")</f>
        <v>6</v>
      </c>
    </row>
    <row r="1679" spans="1:13" x14ac:dyDescent="0.35">
      <c r="A1679" t="s">
        <v>2095</v>
      </c>
      <c r="B1679" t="s">
        <v>1112</v>
      </c>
      <c r="C1679" t="s">
        <v>135</v>
      </c>
      <c r="D1679" s="2">
        <v>4801.67</v>
      </c>
      <c r="E1679">
        <v>4</v>
      </c>
      <c r="F1679">
        <v>0</v>
      </c>
      <c r="G1679" t="s">
        <v>19</v>
      </c>
      <c r="H1679" t="s">
        <v>21</v>
      </c>
      <c r="I1679" t="s">
        <v>20</v>
      </c>
      <c r="J1679" s="2">
        <f>Table1_1[[#This Row],[Sales]]-Table1_1[[#This Row],[Sales]]*Table1_1[[#This Row],[Discount]]</f>
        <v>4801.67</v>
      </c>
      <c r="K1679" s="1">
        <v>45425</v>
      </c>
      <c r="L1679" s="11">
        <v>45426</v>
      </c>
      <c r="M1679">
        <f>DATEDIF(Table1_1[[#This Row],[Order Date]],Table1_1[[#This Row],[Ship Date]],"D")</f>
        <v>1</v>
      </c>
    </row>
    <row r="1680" spans="1:13" x14ac:dyDescent="0.35">
      <c r="A1680" t="s">
        <v>2096</v>
      </c>
      <c r="B1680" t="s">
        <v>317</v>
      </c>
      <c r="C1680" t="s">
        <v>384</v>
      </c>
      <c r="D1680" s="2">
        <v>4980.5</v>
      </c>
      <c r="E1680">
        <v>1</v>
      </c>
      <c r="F1680">
        <v>0.2</v>
      </c>
      <c r="G1680" t="s">
        <v>14</v>
      </c>
      <c r="H1680" t="s">
        <v>21</v>
      </c>
      <c r="I1680" t="s">
        <v>20</v>
      </c>
      <c r="J1680" s="2">
        <f>Table1_1[[#This Row],[Sales]]-Table1_1[[#This Row],[Sales]]*Table1_1[[#This Row],[Discount]]</f>
        <v>3984.4</v>
      </c>
      <c r="K1680" s="1">
        <v>44989</v>
      </c>
      <c r="L1680" s="11">
        <v>44990</v>
      </c>
      <c r="M1680">
        <f>DATEDIF(Table1_1[[#This Row],[Order Date]],Table1_1[[#This Row],[Ship Date]],"D")</f>
        <v>1</v>
      </c>
    </row>
    <row r="1681" spans="1:13" x14ac:dyDescent="0.35">
      <c r="A1681" t="s">
        <v>2097</v>
      </c>
      <c r="B1681" t="s">
        <v>248</v>
      </c>
      <c r="C1681" t="s">
        <v>143</v>
      </c>
      <c r="D1681" s="2">
        <v>2977.78</v>
      </c>
      <c r="E1681">
        <v>5</v>
      </c>
      <c r="F1681">
        <v>0.1</v>
      </c>
      <c r="G1681" t="s">
        <v>14</v>
      </c>
      <c r="H1681" t="s">
        <v>15</v>
      </c>
      <c r="I1681" t="s">
        <v>20</v>
      </c>
      <c r="J1681" s="2">
        <f>Table1_1[[#This Row],[Sales]]-Table1_1[[#This Row],[Sales]]*Table1_1[[#This Row],[Discount]]</f>
        <v>2680.0020000000004</v>
      </c>
      <c r="K1681" s="1">
        <v>45649</v>
      </c>
      <c r="L1681" s="11">
        <v>45651</v>
      </c>
      <c r="M1681">
        <f>DATEDIF(Table1_1[[#This Row],[Order Date]],Table1_1[[#This Row],[Ship Date]],"D")</f>
        <v>2</v>
      </c>
    </row>
    <row r="1682" spans="1:13" x14ac:dyDescent="0.35">
      <c r="A1682" t="s">
        <v>2098</v>
      </c>
      <c r="B1682" t="s">
        <v>601</v>
      </c>
      <c r="C1682" t="s">
        <v>259</v>
      </c>
      <c r="D1682" s="2">
        <v>1637.35</v>
      </c>
      <c r="E1682">
        <v>7</v>
      </c>
      <c r="F1682">
        <v>0.3</v>
      </c>
      <c r="G1682" t="s">
        <v>14</v>
      </c>
      <c r="H1682" t="s">
        <v>15</v>
      </c>
      <c r="I1682" t="s">
        <v>16</v>
      </c>
      <c r="J1682" s="2">
        <f>Table1_1[[#This Row],[Sales]]-Table1_1[[#This Row],[Sales]]*Table1_1[[#This Row],[Discount]]</f>
        <v>1146.145</v>
      </c>
      <c r="K1682" s="1">
        <v>45211</v>
      </c>
      <c r="L1682" s="11">
        <v>45214</v>
      </c>
      <c r="M1682">
        <f>DATEDIF(Table1_1[[#This Row],[Order Date]],Table1_1[[#This Row],[Ship Date]],"D")</f>
        <v>3</v>
      </c>
    </row>
    <row r="1683" spans="1:13" x14ac:dyDescent="0.35">
      <c r="A1683" t="s">
        <v>2099</v>
      </c>
      <c r="B1683" t="s">
        <v>363</v>
      </c>
      <c r="C1683" t="s">
        <v>756</v>
      </c>
      <c r="D1683" s="2">
        <v>3209.18</v>
      </c>
      <c r="E1683">
        <v>1</v>
      </c>
      <c r="F1683">
        <v>0.2</v>
      </c>
      <c r="G1683" t="s">
        <v>39</v>
      </c>
      <c r="H1683" t="s">
        <v>15</v>
      </c>
      <c r="I1683" t="s">
        <v>16</v>
      </c>
      <c r="J1683" s="2">
        <f>Table1_1[[#This Row],[Sales]]-Table1_1[[#This Row],[Sales]]*Table1_1[[#This Row],[Discount]]</f>
        <v>2567.3440000000001</v>
      </c>
      <c r="K1683" s="1">
        <v>45639</v>
      </c>
      <c r="L1683" s="11">
        <v>45646</v>
      </c>
      <c r="M1683">
        <f>DATEDIF(Table1_1[[#This Row],[Order Date]],Table1_1[[#This Row],[Ship Date]],"D")</f>
        <v>7</v>
      </c>
    </row>
    <row r="1684" spans="1:13" x14ac:dyDescent="0.35">
      <c r="A1684" t="s">
        <v>2100</v>
      </c>
      <c r="B1684" t="s">
        <v>842</v>
      </c>
      <c r="C1684" t="s">
        <v>108</v>
      </c>
      <c r="D1684" s="2">
        <v>2558.12</v>
      </c>
      <c r="E1684">
        <v>4</v>
      </c>
      <c r="F1684">
        <v>0.2</v>
      </c>
      <c r="G1684" t="s">
        <v>19</v>
      </c>
      <c r="H1684" t="s">
        <v>15</v>
      </c>
      <c r="I1684" t="s">
        <v>20</v>
      </c>
      <c r="J1684" s="2">
        <f>Table1_1[[#This Row],[Sales]]-Table1_1[[#This Row],[Sales]]*Table1_1[[#This Row],[Discount]]</f>
        <v>2046.4959999999999</v>
      </c>
      <c r="K1684" s="1">
        <v>45752</v>
      </c>
      <c r="L1684" s="11">
        <v>45755</v>
      </c>
      <c r="M1684">
        <f>DATEDIF(Table1_1[[#This Row],[Order Date]],Table1_1[[#This Row],[Ship Date]],"D")</f>
        <v>3</v>
      </c>
    </row>
    <row r="1685" spans="1:13" x14ac:dyDescent="0.35">
      <c r="A1685" t="s">
        <v>2101</v>
      </c>
      <c r="B1685" t="s">
        <v>410</v>
      </c>
      <c r="C1685" t="s">
        <v>13</v>
      </c>
      <c r="D1685" s="2">
        <v>4705.1400000000003</v>
      </c>
      <c r="E1685">
        <v>7</v>
      </c>
      <c r="F1685">
        <v>0.2</v>
      </c>
      <c r="G1685" t="s">
        <v>39</v>
      </c>
      <c r="H1685" t="s">
        <v>15</v>
      </c>
      <c r="I1685" t="s">
        <v>16</v>
      </c>
      <c r="J1685" s="2">
        <f>Table1_1[[#This Row],[Sales]]-Table1_1[[#This Row],[Sales]]*Table1_1[[#This Row],[Discount]]</f>
        <v>3764.1120000000001</v>
      </c>
      <c r="K1685" s="1">
        <v>45272</v>
      </c>
      <c r="L1685" s="11">
        <v>45277</v>
      </c>
      <c r="M1685">
        <f>DATEDIF(Table1_1[[#This Row],[Order Date]],Table1_1[[#This Row],[Ship Date]],"D")</f>
        <v>5</v>
      </c>
    </row>
    <row r="1686" spans="1:13" x14ac:dyDescent="0.35">
      <c r="A1686" t="s">
        <v>2102</v>
      </c>
      <c r="B1686" t="s">
        <v>1004</v>
      </c>
      <c r="C1686" t="s">
        <v>357</v>
      </c>
      <c r="D1686" s="2">
        <v>647.59</v>
      </c>
      <c r="E1686">
        <v>7</v>
      </c>
      <c r="F1686">
        <v>0.3</v>
      </c>
      <c r="G1686" t="s">
        <v>14</v>
      </c>
      <c r="H1686" t="s">
        <v>15</v>
      </c>
      <c r="I1686" t="s">
        <v>20</v>
      </c>
      <c r="J1686" s="2">
        <f>Table1_1[[#This Row],[Sales]]-Table1_1[[#This Row],[Sales]]*Table1_1[[#This Row],[Discount]]</f>
        <v>453.31299999999999</v>
      </c>
      <c r="K1686" s="1">
        <v>45784</v>
      </c>
      <c r="L1686" s="11">
        <v>45788</v>
      </c>
      <c r="M1686">
        <f>DATEDIF(Table1_1[[#This Row],[Order Date]],Table1_1[[#This Row],[Ship Date]],"D")</f>
        <v>4</v>
      </c>
    </row>
    <row r="1687" spans="1:13" x14ac:dyDescent="0.35">
      <c r="A1687" t="s">
        <v>2103</v>
      </c>
      <c r="B1687" t="s">
        <v>691</v>
      </c>
      <c r="C1687" t="s">
        <v>268</v>
      </c>
      <c r="D1687" s="2">
        <v>3210.35</v>
      </c>
      <c r="E1687">
        <v>8</v>
      </c>
      <c r="F1687">
        <v>0.3</v>
      </c>
      <c r="G1687" t="s">
        <v>19</v>
      </c>
      <c r="H1687" t="s">
        <v>15</v>
      </c>
      <c r="I1687" t="s">
        <v>16</v>
      </c>
      <c r="J1687" s="2">
        <f>Table1_1[[#This Row],[Sales]]-Table1_1[[#This Row],[Sales]]*Table1_1[[#This Row],[Discount]]</f>
        <v>2247.2449999999999</v>
      </c>
      <c r="K1687" s="1">
        <v>45769</v>
      </c>
      <c r="L1687" s="11">
        <v>45776</v>
      </c>
      <c r="M1687">
        <f>DATEDIF(Table1_1[[#This Row],[Order Date]],Table1_1[[#This Row],[Ship Date]],"D")</f>
        <v>7</v>
      </c>
    </row>
    <row r="1688" spans="1:13" x14ac:dyDescent="0.35">
      <c r="A1688" t="s">
        <v>2104</v>
      </c>
      <c r="B1688" t="s">
        <v>72</v>
      </c>
      <c r="C1688" t="s">
        <v>281</v>
      </c>
      <c r="D1688" s="2">
        <v>3173.04</v>
      </c>
      <c r="E1688">
        <v>7</v>
      </c>
      <c r="F1688">
        <v>0</v>
      </c>
      <c r="G1688" t="s">
        <v>19</v>
      </c>
      <c r="H1688" t="s">
        <v>21</v>
      </c>
      <c r="I1688" t="s">
        <v>20</v>
      </c>
      <c r="J1688" s="2">
        <f>Table1_1[[#This Row],[Sales]]-Table1_1[[#This Row],[Sales]]*Table1_1[[#This Row],[Discount]]</f>
        <v>3173.04</v>
      </c>
      <c r="K1688" s="1">
        <v>45646</v>
      </c>
      <c r="L1688" s="11">
        <v>45653</v>
      </c>
      <c r="M1688">
        <f>DATEDIF(Table1_1[[#This Row],[Order Date]],Table1_1[[#This Row],[Ship Date]],"D")</f>
        <v>7</v>
      </c>
    </row>
    <row r="1689" spans="1:13" x14ac:dyDescent="0.35">
      <c r="A1689" t="s">
        <v>2105</v>
      </c>
      <c r="B1689" t="s">
        <v>134</v>
      </c>
      <c r="C1689" t="s">
        <v>234</v>
      </c>
      <c r="D1689" s="2">
        <v>418.6</v>
      </c>
      <c r="E1689">
        <v>7</v>
      </c>
      <c r="F1689">
        <v>0.1</v>
      </c>
      <c r="G1689" t="s">
        <v>14</v>
      </c>
      <c r="H1689" t="s">
        <v>15</v>
      </c>
      <c r="I1689" t="s">
        <v>43</v>
      </c>
      <c r="J1689" s="2">
        <f>Table1_1[[#This Row],[Sales]]-Table1_1[[#This Row],[Sales]]*Table1_1[[#This Row],[Discount]]</f>
        <v>376.74</v>
      </c>
      <c r="K1689" s="1">
        <v>45157</v>
      </c>
      <c r="L1689" s="11">
        <v>45161</v>
      </c>
      <c r="M1689">
        <f>DATEDIF(Table1_1[[#This Row],[Order Date]],Table1_1[[#This Row],[Ship Date]],"D")</f>
        <v>4</v>
      </c>
    </row>
    <row r="1690" spans="1:13" x14ac:dyDescent="0.35">
      <c r="A1690" t="s">
        <v>2106</v>
      </c>
      <c r="B1690" t="s">
        <v>422</v>
      </c>
      <c r="C1690" t="s">
        <v>262</v>
      </c>
      <c r="D1690" s="2">
        <v>3824.04</v>
      </c>
      <c r="E1690">
        <v>3</v>
      </c>
      <c r="F1690">
        <v>0.2</v>
      </c>
      <c r="G1690" t="s">
        <v>14</v>
      </c>
      <c r="H1690" t="s">
        <v>21</v>
      </c>
      <c r="I1690" t="s">
        <v>43</v>
      </c>
      <c r="J1690" s="2">
        <f>Table1_1[[#This Row],[Sales]]-Table1_1[[#This Row],[Sales]]*Table1_1[[#This Row],[Discount]]</f>
        <v>3059.232</v>
      </c>
      <c r="K1690" s="1">
        <v>45213</v>
      </c>
      <c r="L1690" s="11">
        <v>45215</v>
      </c>
      <c r="M1690">
        <f>DATEDIF(Table1_1[[#This Row],[Order Date]],Table1_1[[#This Row],[Ship Date]],"D")</f>
        <v>2</v>
      </c>
    </row>
    <row r="1691" spans="1:13" x14ac:dyDescent="0.35">
      <c r="A1691" t="s">
        <v>2107</v>
      </c>
      <c r="B1691" t="s">
        <v>627</v>
      </c>
      <c r="C1691" t="s">
        <v>197</v>
      </c>
      <c r="D1691" s="2">
        <v>226.39</v>
      </c>
      <c r="E1691">
        <v>5</v>
      </c>
      <c r="F1691">
        <v>0.3</v>
      </c>
      <c r="G1691" t="s">
        <v>39</v>
      </c>
      <c r="H1691" t="s">
        <v>15</v>
      </c>
      <c r="I1691" t="s">
        <v>43</v>
      </c>
      <c r="J1691" s="2">
        <f>Table1_1[[#This Row],[Sales]]-Table1_1[[#This Row],[Sales]]*Table1_1[[#This Row],[Discount]]</f>
        <v>158.47300000000001</v>
      </c>
      <c r="K1691" s="1">
        <v>45246</v>
      </c>
      <c r="L1691" s="11">
        <v>45247</v>
      </c>
      <c r="M1691">
        <f>DATEDIF(Table1_1[[#This Row],[Order Date]],Table1_1[[#This Row],[Ship Date]],"D")</f>
        <v>1</v>
      </c>
    </row>
    <row r="1692" spans="1:13" x14ac:dyDescent="0.35">
      <c r="A1692" t="s">
        <v>2108</v>
      </c>
      <c r="B1692" t="s">
        <v>189</v>
      </c>
      <c r="C1692" t="s">
        <v>77</v>
      </c>
      <c r="D1692" s="2">
        <v>4580.87</v>
      </c>
      <c r="E1692">
        <v>9</v>
      </c>
      <c r="F1692">
        <v>0.1</v>
      </c>
      <c r="G1692" t="s">
        <v>14</v>
      </c>
      <c r="H1692" t="s">
        <v>15</v>
      </c>
      <c r="I1692" t="s">
        <v>16</v>
      </c>
      <c r="J1692" s="2">
        <f>Table1_1[[#This Row],[Sales]]-Table1_1[[#This Row],[Sales]]*Table1_1[[#This Row],[Discount]]</f>
        <v>4122.7829999999994</v>
      </c>
      <c r="K1692" s="1">
        <v>45695</v>
      </c>
      <c r="L1692" s="11">
        <v>45696</v>
      </c>
      <c r="M1692">
        <f>DATEDIF(Table1_1[[#This Row],[Order Date]],Table1_1[[#This Row],[Ship Date]],"D")</f>
        <v>1</v>
      </c>
    </row>
    <row r="1693" spans="1:13" x14ac:dyDescent="0.35">
      <c r="A1693" t="s">
        <v>2109</v>
      </c>
      <c r="B1693" t="s">
        <v>407</v>
      </c>
      <c r="C1693" t="s">
        <v>458</v>
      </c>
      <c r="D1693" s="2">
        <v>3456.61</v>
      </c>
      <c r="E1693">
        <v>3</v>
      </c>
      <c r="F1693">
        <v>0.3</v>
      </c>
      <c r="G1693" t="s">
        <v>14</v>
      </c>
      <c r="H1693" t="s">
        <v>21</v>
      </c>
      <c r="I1693" t="s">
        <v>16</v>
      </c>
      <c r="J1693" s="2">
        <f>Table1_1[[#This Row],[Sales]]-Table1_1[[#This Row],[Sales]]*Table1_1[[#This Row],[Discount]]</f>
        <v>2419.6270000000004</v>
      </c>
      <c r="K1693" s="1">
        <v>45616</v>
      </c>
      <c r="L1693" s="11">
        <v>45617</v>
      </c>
      <c r="M1693">
        <f>DATEDIF(Table1_1[[#This Row],[Order Date]],Table1_1[[#This Row],[Ship Date]],"D")</f>
        <v>1</v>
      </c>
    </row>
    <row r="1694" spans="1:13" x14ac:dyDescent="0.35">
      <c r="A1694" t="s">
        <v>2110</v>
      </c>
      <c r="B1694" t="s">
        <v>277</v>
      </c>
      <c r="C1694" t="s">
        <v>273</v>
      </c>
      <c r="D1694" s="2">
        <v>4767.22</v>
      </c>
      <c r="E1694">
        <v>1</v>
      </c>
      <c r="F1694">
        <v>0.3</v>
      </c>
      <c r="G1694" t="s">
        <v>14</v>
      </c>
      <c r="H1694" t="s">
        <v>15</v>
      </c>
      <c r="I1694" t="s">
        <v>16</v>
      </c>
      <c r="J1694" s="2">
        <f>Table1_1[[#This Row],[Sales]]-Table1_1[[#This Row],[Sales]]*Table1_1[[#This Row],[Discount]]</f>
        <v>3337.0540000000001</v>
      </c>
      <c r="K1694" s="1">
        <v>45458</v>
      </c>
      <c r="L1694" s="11">
        <v>45463</v>
      </c>
      <c r="M1694">
        <f>DATEDIF(Table1_1[[#This Row],[Order Date]],Table1_1[[#This Row],[Ship Date]],"D")</f>
        <v>5</v>
      </c>
    </row>
    <row r="1695" spans="1:13" x14ac:dyDescent="0.35">
      <c r="A1695" t="s">
        <v>2111</v>
      </c>
      <c r="B1695" t="s">
        <v>248</v>
      </c>
      <c r="C1695" t="s">
        <v>246</v>
      </c>
      <c r="D1695" s="2">
        <v>3842.28</v>
      </c>
      <c r="E1695">
        <v>1</v>
      </c>
      <c r="F1695">
        <v>0.2</v>
      </c>
      <c r="G1695" t="s">
        <v>39</v>
      </c>
      <c r="H1695" t="s">
        <v>21</v>
      </c>
      <c r="I1695" t="s">
        <v>16</v>
      </c>
      <c r="J1695" s="2">
        <f>Table1_1[[#This Row],[Sales]]-Table1_1[[#This Row],[Sales]]*Table1_1[[#This Row],[Discount]]</f>
        <v>3073.8240000000001</v>
      </c>
      <c r="K1695" s="1">
        <v>45347</v>
      </c>
      <c r="L1695" s="11">
        <v>45349</v>
      </c>
      <c r="M1695">
        <f>DATEDIF(Table1_1[[#This Row],[Order Date]],Table1_1[[#This Row],[Ship Date]],"D")</f>
        <v>2</v>
      </c>
    </row>
    <row r="1696" spans="1:13" x14ac:dyDescent="0.35">
      <c r="A1696" t="s">
        <v>2112</v>
      </c>
      <c r="B1696" t="s">
        <v>637</v>
      </c>
      <c r="C1696" t="s">
        <v>113</v>
      </c>
      <c r="D1696" s="2">
        <v>4138.46</v>
      </c>
      <c r="E1696">
        <v>2</v>
      </c>
      <c r="F1696">
        <v>0.3</v>
      </c>
      <c r="G1696" t="s">
        <v>19</v>
      </c>
      <c r="H1696" t="s">
        <v>21</v>
      </c>
      <c r="I1696" t="s">
        <v>43</v>
      </c>
      <c r="J1696" s="2">
        <f>Table1_1[[#This Row],[Sales]]-Table1_1[[#This Row],[Sales]]*Table1_1[[#This Row],[Discount]]</f>
        <v>2896.922</v>
      </c>
      <c r="K1696" s="1">
        <v>45037</v>
      </c>
      <c r="L1696" s="11">
        <v>45039</v>
      </c>
      <c r="M1696">
        <f>DATEDIF(Table1_1[[#This Row],[Order Date]],Table1_1[[#This Row],[Ship Date]],"D")</f>
        <v>2</v>
      </c>
    </row>
    <row r="1697" spans="1:13" x14ac:dyDescent="0.35">
      <c r="A1697" t="s">
        <v>2113</v>
      </c>
      <c r="B1697" t="s">
        <v>1054</v>
      </c>
      <c r="C1697" t="s">
        <v>73</v>
      </c>
      <c r="D1697" s="2">
        <v>1884.41</v>
      </c>
      <c r="E1697">
        <v>6</v>
      </c>
      <c r="F1697">
        <v>0.1</v>
      </c>
      <c r="G1697" t="s">
        <v>14</v>
      </c>
      <c r="H1697" t="s">
        <v>15</v>
      </c>
      <c r="I1697" t="s">
        <v>43</v>
      </c>
      <c r="J1697" s="2">
        <f>Table1_1[[#This Row],[Sales]]-Table1_1[[#This Row],[Sales]]*Table1_1[[#This Row],[Discount]]</f>
        <v>1695.9690000000001</v>
      </c>
      <c r="K1697" s="1">
        <v>45095</v>
      </c>
      <c r="L1697" s="11">
        <v>45096</v>
      </c>
      <c r="M1697">
        <f>DATEDIF(Table1_1[[#This Row],[Order Date]],Table1_1[[#This Row],[Ship Date]],"D")</f>
        <v>1</v>
      </c>
    </row>
    <row r="1698" spans="1:13" x14ac:dyDescent="0.35">
      <c r="A1698" t="s">
        <v>2114</v>
      </c>
      <c r="B1698" t="s">
        <v>483</v>
      </c>
      <c r="C1698" t="s">
        <v>341</v>
      </c>
      <c r="D1698" s="2">
        <v>935.39</v>
      </c>
      <c r="E1698">
        <v>10</v>
      </c>
      <c r="F1698">
        <v>0</v>
      </c>
      <c r="G1698" t="s">
        <v>19</v>
      </c>
      <c r="H1698" t="s">
        <v>15</v>
      </c>
      <c r="I1698" t="s">
        <v>43</v>
      </c>
      <c r="J1698" s="2">
        <f>Table1_1[[#This Row],[Sales]]-Table1_1[[#This Row],[Sales]]*Table1_1[[#This Row],[Discount]]</f>
        <v>935.39</v>
      </c>
      <c r="K1698" s="1">
        <v>45294</v>
      </c>
      <c r="L1698" s="11">
        <v>45301</v>
      </c>
      <c r="M1698">
        <f>DATEDIF(Table1_1[[#This Row],[Order Date]],Table1_1[[#This Row],[Ship Date]],"D")</f>
        <v>7</v>
      </c>
    </row>
    <row r="1699" spans="1:13" x14ac:dyDescent="0.35">
      <c r="A1699" t="s">
        <v>2115</v>
      </c>
      <c r="B1699" t="s">
        <v>438</v>
      </c>
      <c r="C1699" t="s">
        <v>310</v>
      </c>
      <c r="D1699" s="2">
        <v>2704.21</v>
      </c>
      <c r="E1699">
        <v>5</v>
      </c>
      <c r="F1699">
        <v>0.3</v>
      </c>
      <c r="G1699" t="s">
        <v>39</v>
      </c>
      <c r="H1699" t="s">
        <v>15</v>
      </c>
      <c r="I1699" t="s">
        <v>16</v>
      </c>
      <c r="J1699" s="2">
        <f>Table1_1[[#This Row],[Sales]]-Table1_1[[#This Row],[Sales]]*Table1_1[[#This Row],[Discount]]</f>
        <v>1892.9470000000001</v>
      </c>
      <c r="K1699" s="1">
        <v>45247</v>
      </c>
      <c r="L1699" s="11">
        <v>45252</v>
      </c>
      <c r="M1699">
        <f>DATEDIF(Table1_1[[#This Row],[Order Date]],Table1_1[[#This Row],[Ship Date]],"D")</f>
        <v>5</v>
      </c>
    </row>
    <row r="1700" spans="1:13" x14ac:dyDescent="0.35">
      <c r="A1700" t="s">
        <v>2116</v>
      </c>
      <c r="B1700" t="s">
        <v>522</v>
      </c>
      <c r="C1700" t="s">
        <v>214</v>
      </c>
      <c r="D1700" s="2">
        <v>3017.67</v>
      </c>
      <c r="E1700">
        <v>1</v>
      </c>
      <c r="F1700">
        <v>0</v>
      </c>
      <c r="G1700" t="s">
        <v>39</v>
      </c>
      <c r="H1700" t="s">
        <v>15</v>
      </c>
      <c r="I1700" t="s">
        <v>20</v>
      </c>
      <c r="J1700" s="2">
        <f>Table1_1[[#This Row],[Sales]]-Table1_1[[#This Row],[Sales]]*Table1_1[[#This Row],[Discount]]</f>
        <v>3017.67</v>
      </c>
      <c r="K1700" s="1">
        <v>45377</v>
      </c>
      <c r="L1700" s="11">
        <v>45384</v>
      </c>
      <c r="M1700">
        <f>DATEDIF(Table1_1[[#This Row],[Order Date]],Table1_1[[#This Row],[Ship Date]],"D")</f>
        <v>7</v>
      </c>
    </row>
    <row r="1701" spans="1:13" x14ac:dyDescent="0.35">
      <c r="A1701" t="s">
        <v>2117</v>
      </c>
      <c r="B1701" t="s">
        <v>424</v>
      </c>
      <c r="C1701" t="s">
        <v>220</v>
      </c>
      <c r="D1701" s="2">
        <v>4598.3100000000004</v>
      </c>
      <c r="E1701">
        <v>2</v>
      </c>
      <c r="F1701">
        <v>0.2</v>
      </c>
      <c r="G1701" t="s">
        <v>19</v>
      </c>
      <c r="H1701" t="s">
        <v>15</v>
      </c>
      <c r="I1701" t="s">
        <v>20</v>
      </c>
      <c r="J1701" s="2">
        <f>Table1_1[[#This Row],[Sales]]-Table1_1[[#This Row],[Sales]]*Table1_1[[#This Row],[Discount]]</f>
        <v>3678.6480000000001</v>
      </c>
      <c r="K1701" s="1">
        <v>45535</v>
      </c>
      <c r="L1701" s="11">
        <v>45538</v>
      </c>
      <c r="M1701">
        <f>DATEDIF(Table1_1[[#This Row],[Order Date]],Table1_1[[#This Row],[Ship Date]],"D")</f>
        <v>3</v>
      </c>
    </row>
    <row r="1702" spans="1:13" x14ac:dyDescent="0.35">
      <c r="A1702" t="s">
        <v>2118</v>
      </c>
      <c r="B1702" t="s">
        <v>583</v>
      </c>
      <c r="C1702" t="s">
        <v>542</v>
      </c>
      <c r="D1702" s="2">
        <v>4007.26</v>
      </c>
      <c r="E1702">
        <v>7</v>
      </c>
      <c r="F1702">
        <v>0.1</v>
      </c>
      <c r="G1702" t="s">
        <v>39</v>
      </c>
      <c r="H1702" t="s">
        <v>15</v>
      </c>
      <c r="I1702" t="s">
        <v>43</v>
      </c>
      <c r="J1702" s="2">
        <f>Table1_1[[#This Row],[Sales]]-Table1_1[[#This Row],[Sales]]*Table1_1[[#This Row],[Discount]]</f>
        <v>3606.5340000000001</v>
      </c>
      <c r="K1702" s="1">
        <v>44932</v>
      </c>
      <c r="L1702" s="11">
        <v>44933</v>
      </c>
      <c r="M1702">
        <f>DATEDIF(Table1_1[[#This Row],[Order Date]],Table1_1[[#This Row],[Ship Date]],"D")</f>
        <v>1</v>
      </c>
    </row>
    <row r="1703" spans="1:13" x14ac:dyDescent="0.35">
      <c r="A1703" t="s">
        <v>2119</v>
      </c>
      <c r="B1703" t="s">
        <v>679</v>
      </c>
      <c r="C1703" t="s">
        <v>68</v>
      </c>
      <c r="D1703" s="2">
        <v>2940.44</v>
      </c>
      <c r="E1703">
        <v>1</v>
      </c>
      <c r="F1703">
        <v>0.3</v>
      </c>
      <c r="G1703" t="s">
        <v>39</v>
      </c>
      <c r="H1703" t="s">
        <v>15</v>
      </c>
      <c r="I1703" t="s">
        <v>43</v>
      </c>
      <c r="J1703" s="2">
        <f>Table1_1[[#This Row],[Sales]]-Table1_1[[#This Row],[Sales]]*Table1_1[[#This Row],[Discount]]</f>
        <v>2058.308</v>
      </c>
      <c r="K1703" s="1">
        <v>45016</v>
      </c>
      <c r="L1703" s="11">
        <v>45022</v>
      </c>
      <c r="M1703">
        <f>DATEDIF(Table1_1[[#This Row],[Order Date]],Table1_1[[#This Row],[Ship Date]],"D")</f>
        <v>6</v>
      </c>
    </row>
    <row r="1704" spans="1:13" x14ac:dyDescent="0.35">
      <c r="A1704" t="s">
        <v>2120</v>
      </c>
      <c r="B1704" t="s">
        <v>124</v>
      </c>
      <c r="C1704" t="s">
        <v>329</v>
      </c>
      <c r="D1704" s="2">
        <v>4783.22</v>
      </c>
      <c r="E1704">
        <v>4</v>
      </c>
      <c r="F1704">
        <v>0.2</v>
      </c>
      <c r="G1704" t="s">
        <v>14</v>
      </c>
      <c r="H1704" t="s">
        <v>21</v>
      </c>
      <c r="I1704" t="s">
        <v>16</v>
      </c>
      <c r="J1704" s="2">
        <f>Table1_1[[#This Row],[Sales]]-Table1_1[[#This Row],[Sales]]*Table1_1[[#This Row],[Discount]]</f>
        <v>3826.576</v>
      </c>
      <c r="K1704" s="1">
        <v>45200</v>
      </c>
      <c r="L1704" s="11">
        <v>45207</v>
      </c>
      <c r="M1704">
        <f>DATEDIF(Table1_1[[#This Row],[Order Date]],Table1_1[[#This Row],[Ship Date]],"D")</f>
        <v>7</v>
      </c>
    </row>
    <row r="1705" spans="1:13" x14ac:dyDescent="0.35">
      <c r="A1705" t="s">
        <v>2121</v>
      </c>
      <c r="B1705" t="s">
        <v>1019</v>
      </c>
      <c r="C1705" t="s">
        <v>291</v>
      </c>
      <c r="D1705" s="2">
        <v>339.14</v>
      </c>
      <c r="E1705">
        <v>8</v>
      </c>
      <c r="F1705">
        <v>0</v>
      </c>
      <c r="G1705" t="s">
        <v>39</v>
      </c>
      <c r="H1705" t="s">
        <v>15</v>
      </c>
      <c r="I1705" t="s">
        <v>20</v>
      </c>
      <c r="J1705" s="2">
        <f>Table1_1[[#This Row],[Sales]]-Table1_1[[#This Row],[Sales]]*Table1_1[[#This Row],[Discount]]</f>
        <v>339.14</v>
      </c>
      <c r="K1705" s="1">
        <v>45580</v>
      </c>
      <c r="L1705" s="11">
        <v>45585</v>
      </c>
      <c r="M1705">
        <f>DATEDIF(Table1_1[[#This Row],[Order Date]],Table1_1[[#This Row],[Ship Date]],"D")</f>
        <v>5</v>
      </c>
    </row>
    <row r="1706" spans="1:13" x14ac:dyDescent="0.35">
      <c r="A1706" t="s">
        <v>2122</v>
      </c>
      <c r="B1706" t="s">
        <v>817</v>
      </c>
      <c r="C1706" t="s">
        <v>34</v>
      </c>
      <c r="D1706" s="2">
        <v>4334.4799999999996</v>
      </c>
      <c r="E1706">
        <v>6</v>
      </c>
      <c r="F1706">
        <v>0.1</v>
      </c>
      <c r="G1706" t="s">
        <v>19</v>
      </c>
      <c r="H1706" t="s">
        <v>21</v>
      </c>
      <c r="I1706" t="s">
        <v>16</v>
      </c>
      <c r="J1706" s="2">
        <f>Table1_1[[#This Row],[Sales]]-Table1_1[[#This Row],[Sales]]*Table1_1[[#This Row],[Discount]]</f>
        <v>3901.0319999999997</v>
      </c>
      <c r="K1706" s="1">
        <v>45301</v>
      </c>
      <c r="L1706" s="11">
        <v>45307</v>
      </c>
      <c r="M1706">
        <f>DATEDIF(Table1_1[[#This Row],[Order Date]],Table1_1[[#This Row],[Ship Date]],"D")</f>
        <v>6</v>
      </c>
    </row>
    <row r="1707" spans="1:13" x14ac:dyDescent="0.35">
      <c r="A1707" t="s">
        <v>2123</v>
      </c>
      <c r="B1707" t="s">
        <v>184</v>
      </c>
      <c r="C1707" t="s">
        <v>163</v>
      </c>
      <c r="D1707" s="2">
        <v>1933.18</v>
      </c>
      <c r="E1707">
        <v>6</v>
      </c>
      <c r="F1707">
        <v>0.3</v>
      </c>
      <c r="G1707" t="s">
        <v>14</v>
      </c>
      <c r="H1707" t="s">
        <v>15</v>
      </c>
      <c r="I1707" t="s">
        <v>20</v>
      </c>
      <c r="J1707" s="2">
        <f>Table1_1[[#This Row],[Sales]]-Table1_1[[#This Row],[Sales]]*Table1_1[[#This Row],[Discount]]</f>
        <v>1353.2260000000001</v>
      </c>
      <c r="K1707" s="1">
        <v>44971</v>
      </c>
      <c r="L1707" s="11">
        <v>44975</v>
      </c>
      <c r="M1707">
        <f>DATEDIF(Table1_1[[#This Row],[Order Date]],Table1_1[[#This Row],[Ship Date]],"D")</f>
        <v>4</v>
      </c>
    </row>
    <row r="1708" spans="1:13" x14ac:dyDescent="0.35">
      <c r="A1708" t="s">
        <v>2124</v>
      </c>
      <c r="B1708" t="s">
        <v>691</v>
      </c>
      <c r="C1708" t="s">
        <v>291</v>
      </c>
      <c r="D1708" s="2">
        <v>4445.88</v>
      </c>
      <c r="E1708">
        <v>6</v>
      </c>
      <c r="F1708">
        <v>0</v>
      </c>
      <c r="G1708" t="s">
        <v>14</v>
      </c>
      <c r="H1708" t="s">
        <v>15</v>
      </c>
      <c r="I1708" t="s">
        <v>20</v>
      </c>
      <c r="J1708" s="2">
        <f>Table1_1[[#This Row],[Sales]]-Table1_1[[#This Row],[Sales]]*Table1_1[[#This Row],[Discount]]</f>
        <v>4445.88</v>
      </c>
      <c r="K1708" s="1">
        <v>44996</v>
      </c>
      <c r="L1708" s="11">
        <v>45002</v>
      </c>
      <c r="M1708">
        <f>DATEDIF(Table1_1[[#This Row],[Order Date]],Table1_1[[#This Row],[Ship Date]],"D")</f>
        <v>6</v>
      </c>
    </row>
    <row r="1709" spans="1:13" x14ac:dyDescent="0.35">
      <c r="A1709" t="s">
        <v>2125</v>
      </c>
      <c r="B1709" t="s">
        <v>474</v>
      </c>
      <c r="C1709" t="s">
        <v>146</v>
      </c>
      <c r="D1709" s="2">
        <v>4307.57</v>
      </c>
      <c r="E1709">
        <v>4</v>
      </c>
      <c r="F1709">
        <v>0.1</v>
      </c>
      <c r="G1709" t="s">
        <v>14</v>
      </c>
      <c r="H1709" t="s">
        <v>21</v>
      </c>
      <c r="I1709" t="s">
        <v>20</v>
      </c>
      <c r="J1709" s="2">
        <f>Table1_1[[#This Row],[Sales]]-Table1_1[[#This Row],[Sales]]*Table1_1[[#This Row],[Discount]]</f>
        <v>3876.8129999999996</v>
      </c>
      <c r="K1709" s="1">
        <v>45253</v>
      </c>
      <c r="L1709" s="11">
        <v>45257</v>
      </c>
      <c r="M1709">
        <f>DATEDIF(Table1_1[[#This Row],[Order Date]],Table1_1[[#This Row],[Ship Date]],"D")</f>
        <v>4</v>
      </c>
    </row>
    <row r="1710" spans="1:13" x14ac:dyDescent="0.35">
      <c r="A1710" t="s">
        <v>2126</v>
      </c>
      <c r="B1710" t="s">
        <v>594</v>
      </c>
      <c r="C1710" t="s">
        <v>441</v>
      </c>
      <c r="D1710" s="2">
        <v>1387.63</v>
      </c>
      <c r="E1710">
        <v>8</v>
      </c>
      <c r="F1710">
        <v>0.2</v>
      </c>
      <c r="G1710" t="s">
        <v>14</v>
      </c>
      <c r="H1710" t="s">
        <v>21</v>
      </c>
      <c r="I1710" t="s">
        <v>16</v>
      </c>
      <c r="J1710" s="2">
        <f>Table1_1[[#This Row],[Sales]]-Table1_1[[#This Row],[Sales]]*Table1_1[[#This Row],[Discount]]</f>
        <v>1110.104</v>
      </c>
      <c r="K1710" s="1">
        <v>44982</v>
      </c>
      <c r="L1710" s="11">
        <v>44984</v>
      </c>
      <c r="M1710">
        <f>DATEDIF(Table1_1[[#This Row],[Order Date]],Table1_1[[#This Row],[Ship Date]],"D")</f>
        <v>2</v>
      </c>
    </row>
    <row r="1711" spans="1:13" x14ac:dyDescent="0.35">
      <c r="A1711" t="s">
        <v>2127</v>
      </c>
      <c r="B1711" t="s">
        <v>189</v>
      </c>
      <c r="C1711" t="s">
        <v>204</v>
      </c>
      <c r="D1711" s="2">
        <v>4156.1000000000004</v>
      </c>
      <c r="E1711">
        <v>4</v>
      </c>
      <c r="F1711">
        <v>0.2</v>
      </c>
      <c r="G1711" t="s">
        <v>39</v>
      </c>
      <c r="H1711" t="s">
        <v>15</v>
      </c>
      <c r="I1711" t="s">
        <v>16</v>
      </c>
      <c r="J1711" s="2">
        <f>Table1_1[[#This Row],[Sales]]-Table1_1[[#This Row],[Sales]]*Table1_1[[#This Row],[Discount]]</f>
        <v>3324.88</v>
      </c>
      <c r="K1711" s="1">
        <v>45130</v>
      </c>
      <c r="L1711" s="11">
        <v>45134</v>
      </c>
      <c r="M1711">
        <f>DATEDIF(Table1_1[[#This Row],[Order Date]],Table1_1[[#This Row],[Ship Date]],"D")</f>
        <v>4</v>
      </c>
    </row>
    <row r="1712" spans="1:13" x14ac:dyDescent="0.35">
      <c r="A1712" t="s">
        <v>2128</v>
      </c>
      <c r="B1712" t="s">
        <v>616</v>
      </c>
      <c r="C1712" t="s">
        <v>128</v>
      </c>
      <c r="D1712" s="2">
        <v>4206.3999999999996</v>
      </c>
      <c r="E1712">
        <v>9</v>
      </c>
      <c r="F1712">
        <v>0.3</v>
      </c>
      <c r="G1712" t="s">
        <v>14</v>
      </c>
      <c r="H1712" t="s">
        <v>21</v>
      </c>
      <c r="I1712" t="s">
        <v>16</v>
      </c>
      <c r="J1712" s="2">
        <f>Table1_1[[#This Row],[Sales]]-Table1_1[[#This Row],[Sales]]*Table1_1[[#This Row],[Discount]]</f>
        <v>2944.4799999999996</v>
      </c>
      <c r="K1712" s="1">
        <v>45004</v>
      </c>
      <c r="L1712" s="11">
        <v>45006</v>
      </c>
      <c r="M1712">
        <f>DATEDIF(Table1_1[[#This Row],[Order Date]],Table1_1[[#This Row],[Ship Date]],"D")</f>
        <v>2</v>
      </c>
    </row>
    <row r="1713" spans="1:13" x14ac:dyDescent="0.35">
      <c r="A1713" t="s">
        <v>2129</v>
      </c>
      <c r="B1713" t="s">
        <v>110</v>
      </c>
      <c r="C1713" t="s">
        <v>68</v>
      </c>
      <c r="D1713" s="2">
        <v>3790.57</v>
      </c>
      <c r="E1713">
        <v>5</v>
      </c>
      <c r="F1713">
        <v>0.3</v>
      </c>
      <c r="G1713" t="s">
        <v>19</v>
      </c>
      <c r="H1713" t="s">
        <v>15</v>
      </c>
      <c r="I1713" t="s">
        <v>16</v>
      </c>
      <c r="J1713" s="2">
        <f>Table1_1[[#This Row],[Sales]]-Table1_1[[#This Row],[Sales]]*Table1_1[[#This Row],[Discount]]</f>
        <v>2653.3990000000003</v>
      </c>
      <c r="K1713" s="1">
        <v>45517</v>
      </c>
      <c r="L1713" s="11">
        <v>45523</v>
      </c>
      <c r="M1713">
        <f>DATEDIF(Table1_1[[#This Row],[Order Date]],Table1_1[[#This Row],[Ship Date]],"D")</f>
        <v>6</v>
      </c>
    </row>
    <row r="1714" spans="1:13" x14ac:dyDescent="0.35">
      <c r="A1714" t="s">
        <v>2130</v>
      </c>
      <c r="B1714" t="s">
        <v>1382</v>
      </c>
      <c r="C1714" t="s">
        <v>157</v>
      </c>
      <c r="D1714" s="2">
        <v>3316.4</v>
      </c>
      <c r="E1714">
        <v>10</v>
      </c>
      <c r="F1714">
        <v>0.1</v>
      </c>
      <c r="G1714" t="s">
        <v>39</v>
      </c>
      <c r="H1714" t="s">
        <v>15</v>
      </c>
      <c r="I1714" t="s">
        <v>20</v>
      </c>
      <c r="J1714" s="2">
        <f>Table1_1[[#This Row],[Sales]]-Table1_1[[#This Row],[Sales]]*Table1_1[[#This Row],[Discount]]</f>
        <v>2984.76</v>
      </c>
      <c r="K1714" s="1">
        <v>45155</v>
      </c>
      <c r="L1714" s="11">
        <v>45160</v>
      </c>
      <c r="M1714">
        <f>DATEDIF(Table1_1[[#This Row],[Order Date]],Table1_1[[#This Row],[Ship Date]],"D")</f>
        <v>5</v>
      </c>
    </row>
    <row r="1715" spans="1:13" x14ac:dyDescent="0.35">
      <c r="A1715" t="s">
        <v>2131</v>
      </c>
      <c r="B1715" t="s">
        <v>518</v>
      </c>
      <c r="C1715" t="s">
        <v>62</v>
      </c>
      <c r="D1715" s="2">
        <v>1154.6400000000001</v>
      </c>
      <c r="E1715">
        <v>7</v>
      </c>
      <c r="F1715">
        <v>0.1</v>
      </c>
      <c r="G1715" t="s">
        <v>14</v>
      </c>
      <c r="H1715" t="s">
        <v>15</v>
      </c>
      <c r="I1715" t="s">
        <v>43</v>
      </c>
      <c r="J1715" s="2">
        <f>Table1_1[[#This Row],[Sales]]-Table1_1[[#This Row],[Sales]]*Table1_1[[#This Row],[Discount]]</f>
        <v>1039.1760000000002</v>
      </c>
      <c r="K1715" s="1">
        <v>45574</v>
      </c>
      <c r="L1715" s="11">
        <v>45578</v>
      </c>
      <c r="M1715">
        <f>DATEDIF(Table1_1[[#This Row],[Order Date]],Table1_1[[#This Row],[Ship Date]],"D")</f>
        <v>4</v>
      </c>
    </row>
    <row r="1716" spans="1:13" x14ac:dyDescent="0.35">
      <c r="A1716" t="s">
        <v>2132</v>
      </c>
      <c r="B1716" t="s">
        <v>986</v>
      </c>
      <c r="C1716" t="s">
        <v>125</v>
      </c>
      <c r="D1716" s="2">
        <v>4641.67</v>
      </c>
      <c r="E1716">
        <v>2</v>
      </c>
      <c r="F1716">
        <v>0.1</v>
      </c>
      <c r="G1716" t="s">
        <v>39</v>
      </c>
      <c r="H1716" t="s">
        <v>15</v>
      </c>
      <c r="I1716" t="s">
        <v>43</v>
      </c>
      <c r="J1716" s="2">
        <f>Table1_1[[#This Row],[Sales]]-Table1_1[[#This Row],[Sales]]*Table1_1[[#This Row],[Discount]]</f>
        <v>4177.5029999999997</v>
      </c>
      <c r="K1716" s="1">
        <v>44938</v>
      </c>
      <c r="L1716" s="11">
        <v>44940</v>
      </c>
      <c r="M1716">
        <f>DATEDIF(Table1_1[[#This Row],[Order Date]],Table1_1[[#This Row],[Ship Date]],"D")</f>
        <v>2</v>
      </c>
    </row>
    <row r="1717" spans="1:13" x14ac:dyDescent="0.35">
      <c r="A1717" t="s">
        <v>2133</v>
      </c>
      <c r="B1717" t="s">
        <v>130</v>
      </c>
      <c r="C1717" t="s">
        <v>329</v>
      </c>
      <c r="D1717" s="2">
        <v>1657.41</v>
      </c>
      <c r="E1717">
        <v>6</v>
      </c>
      <c r="F1717">
        <v>0</v>
      </c>
      <c r="G1717" t="s">
        <v>19</v>
      </c>
      <c r="H1717" t="s">
        <v>21</v>
      </c>
      <c r="I1717" t="s">
        <v>20</v>
      </c>
      <c r="J1717" s="2">
        <f>Table1_1[[#This Row],[Sales]]-Table1_1[[#This Row],[Sales]]*Table1_1[[#This Row],[Discount]]</f>
        <v>1657.41</v>
      </c>
      <c r="K1717" s="1">
        <v>45253</v>
      </c>
      <c r="L1717" s="11">
        <v>45260</v>
      </c>
      <c r="M1717">
        <f>DATEDIF(Table1_1[[#This Row],[Order Date]],Table1_1[[#This Row],[Ship Date]],"D")</f>
        <v>7</v>
      </c>
    </row>
    <row r="1718" spans="1:13" x14ac:dyDescent="0.35">
      <c r="A1718" t="s">
        <v>2134</v>
      </c>
      <c r="B1718" t="s">
        <v>402</v>
      </c>
      <c r="C1718" t="s">
        <v>265</v>
      </c>
      <c r="D1718" s="2">
        <v>2183.5500000000002</v>
      </c>
      <c r="E1718">
        <v>7</v>
      </c>
      <c r="F1718">
        <v>0.2</v>
      </c>
      <c r="G1718" t="s">
        <v>14</v>
      </c>
      <c r="H1718" t="s">
        <v>21</v>
      </c>
      <c r="I1718" t="s">
        <v>20</v>
      </c>
      <c r="J1718" s="2">
        <f>Table1_1[[#This Row],[Sales]]-Table1_1[[#This Row],[Sales]]*Table1_1[[#This Row],[Discount]]</f>
        <v>1746.8400000000001</v>
      </c>
      <c r="K1718" s="1">
        <v>45626</v>
      </c>
      <c r="L1718" s="11">
        <v>45632</v>
      </c>
      <c r="M1718">
        <f>DATEDIF(Table1_1[[#This Row],[Order Date]],Table1_1[[#This Row],[Ship Date]],"D")</f>
        <v>6</v>
      </c>
    </row>
    <row r="1719" spans="1:13" x14ac:dyDescent="0.35">
      <c r="A1719" t="s">
        <v>2135</v>
      </c>
      <c r="B1719" t="s">
        <v>84</v>
      </c>
      <c r="C1719" t="s">
        <v>207</v>
      </c>
      <c r="D1719" s="2">
        <v>1433.95</v>
      </c>
      <c r="E1719">
        <v>6</v>
      </c>
      <c r="F1719">
        <v>0.2</v>
      </c>
      <c r="G1719" t="s">
        <v>19</v>
      </c>
      <c r="H1719" t="s">
        <v>21</v>
      </c>
      <c r="I1719" t="s">
        <v>16</v>
      </c>
      <c r="J1719" s="2">
        <f>Table1_1[[#This Row],[Sales]]-Table1_1[[#This Row],[Sales]]*Table1_1[[#This Row],[Discount]]</f>
        <v>1147.1600000000001</v>
      </c>
      <c r="K1719" s="1">
        <v>45515</v>
      </c>
      <c r="L1719" s="11">
        <v>45521</v>
      </c>
      <c r="M1719">
        <f>DATEDIF(Table1_1[[#This Row],[Order Date]],Table1_1[[#This Row],[Ship Date]],"D")</f>
        <v>6</v>
      </c>
    </row>
    <row r="1720" spans="1:13" x14ac:dyDescent="0.35">
      <c r="A1720" t="s">
        <v>2136</v>
      </c>
      <c r="B1720" t="s">
        <v>81</v>
      </c>
      <c r="C1720" t="s">
        <v>237</v>
      </c>
      <c r="D1720" s="2">
        <v>2157.06</v>
      </c>
      <c r="E1720">
        <v>7</v>
      </c>
      <c r="F1720">
        <v>0</v>
      </c>
      <c r="G1720" t="s">
        <v>19</v>
      </c>
      <c r="H1720" t="s">
        <v>21</v>
      </c>
      <c r="I1720" t="s">
        <v>20</v>
      </c>
      <c r="J1720" s="2">
        <f>Table1_1[[#This Row],[Sales]]-Table1_1[[#This Row],[Sales]]*Table1_1[[#This Row],[Discount]]</f>
        <v>2157.06</v>
      </c>
      <c r="K1720" s="1">
        <v>45217</v>
      </c>
      <c r="L1720" s="11">
        <v>45219</v>
      </c>
      <c r="M1720">
        <f>DATEDIF(Table1_1[[#This Row],[Order Date]],Table1_1[[#This Row],[Ship Date]],"D")</f>
        <v>2</v>
      </c>
    </row>
    <row r="1721" spans="1:13" x14ac:dyDescent="0.35">
      <c r="A1721" t="s">
        <v>2137</v>
      </c>
      <c r="B1721" t="s">
        <v>1624</v>
      </c>
      <c r="C1721" t="s">
        <v>180</v>
      </c>
      <c r="D1721" s="2">
        <v>1009.14</v>
      </c>
      <c r="E1721">
        <v>10</v>
      </c>
      <c r="F1721">
        <v>0.1</v>
      </c>
      <c r="G1721" t="s">
        <v>14</v>
      </c>
      <c r="H1721" t="s">
        <v>21</v>
      </c>
      <c r="I1721" t="s">
        <v>43</v>
      </c>
      <c r="J1721" s="2">
        <f>Table1_1[[#This Row],[Sales]]-Table1_1[[#This Row],[Sales]]*Table1_1[[#This Row],[Discount]]</f>
        <v>908.226</v>
      </c>
      <c r="K1721" s="1">
        <v>45802</v>
      </c>
      <c r="L1721" s="11">
        <v>45804</v>
      </c>
      <c r="M1721">
        <f>DATEDIF(Table1_1[[#This Row],[Order Date]],Table1_1[[#This Row],[Ship Date]],"D")</f>
        <v>2</v>
      </c>
    </row>
    <row r="1722" spans="1:13" x14ac:dyDescent="0.35">
      <c r="A1722" t="s">
        <v>2138</v>
      </c>
      <c r="B1722" t="s">
        <v>1178</v>
      </c>
      <c r="C1722" t="s">
        <v>268</v>
      </c>
      <c r="D1722" s="2">
        <v>177.18</v>
      </c>
      <c r="E1722">
        <v>1</v>
      </c>
      <c r="F1722">
        <v>0.3</v>
      </c>
      <c r="G1722" t="s">
        <v>14</v>
      </c>
      <c r="H1722" t="s">
        <v>15</v>
      </c>
      <c r="I1722" t="s">
        <v>16</v>
      </c>
      <c r="J1722" s="2">
        <f>Table1_1[[#This Row],[Sales]]-Table1_1[[#This Row],[Sales]]*Table1_1[[#This Row],[Discount]]</f>
        <v>124.02600000000001</v>
      </c>
      <c r="K1722" s="1">
        <v>45537</v>
      </c>
      <c r="L1722" s="11">
        <v>45544</v>
      </c>
      <c r="M1722">
        <f>DATEDIF(Table1_1[[#This Row],[Order Date]],Table1_1[[#This Row],[Ship Date]],"D")</f>
        <v>7</v>
      </c>
    </row>
    <row r="1723" spans="1:13" x14ac:dyDescent="0.35">
      <c r="A1723" t="s">
        <v>2139</v>
      </c>
      <c r="B1723" t="s">
        <v>353</v>
      </c>
      <c r="C1723" t="s">
        <v>223</v>
      </c>
      <c r="D1723" s="2">
        <v>2485.38</v>
      </c>
      <c r="E1723">
        <v>2</v>
      </c>
      <c r="F1723">
        <v>0.2</v>
      </c>
      <c r="G1723" t="s">
        <v>14</v>
      </c>
      <c r="H1723" t="s">
        <v>21</v>
      </c>
      <c r="I1723" t="s">
        <v>16</v>
      </c>
      <c r="J1723" s="2">
        <f>Table1_1[[#This Row],[Sales]]-Table1_1[[#This Row],[Sales]]*Table1_1[[#This Row],[Discount]]</f>
        <v>1988.3040000000001</v>
      </c>
      <c r="K1723" s="1">
        <v>45164</v>
      </c>
      <c r="L1723" s="11">
        <v>45166</v>
      </c>
      <c r="M1723">
        <f>DATEDIF(Table1_1[[#This Row],[Order Date]],Table1_1[[#This Row],[Ship Date]],"D")</f>
        <v>2</v>
      </c>
    </row>
    <row r="1724" spans="1:13" x14ac:dyDescent="0.35">
      <c r="A1724" t="s">
        <v>2140</v>
      </c>
      <c r="B1724" t="s">
        <v>182</v>
      </c>
      <c r="C1724" t="s">
        <v>169</v>
      </c>
      <c r="D1724" s="2">
        <v>2116.5100000000002</v>
      </c>
      <c r="E1724">
        <v>8</v>
      </c>
      <c r="F1724">
        <v>0.1</v>
      </c>
      <c r="G1724" t="s">
        <v>14</v>
      </c>
      <c r="H1724" t="s">
        <v>21</v>
      </c>
      <c r="I1724" t="s">
        <v>20</v>
      </c>
      <c r="J1724" s="2">
        <f>Table1_1[[#This Row],[Sales]]-Table1_1[[#This Row],[Sales]]*Table1_1[[#This Row],[Discount]]</f>
        <v>1904.8590000000002</v>
      </c>
      <c r="K1724" s="1">
        <v>45284</v>
      </c>
      <c r="L1724" s="11">
        <v>45288</v>
      </c>
      <c r="M1724">
        <f>DATEDIF(Table1_1[[#This Row],[Order Date]],Table1_1[[#This Row],[Ship Date]],"D")</f>
        <v>4</v>
      </c>
    </row>
    <row r="1725" spans="1:13" x14ac:dyDescent="0.35">
      <c r="A1725" t="s">
        <v>2141</v>
      </c>
      <c r="B1725" t="s">
        <v>661</v>
      </c>
      <c r="C1725" t="s">
        <v>443</v>
      </c>
      <c r="D1725" s="2">
        <v>156.96</v>
      </c>
      <c r="E1725">
        <v>9</v>
      </c>
      <c r="F1725">
        <v>0.3</v>
      </c>
      <c r="G1725" t="s">
        <v>14</v>
      </c>
      <c r="H1725" t="s">
        <v>15</v>
      </c>
      <c r="I1725" t="s">
        <v>20</v>
      </c>
      <c r="J1725" s="2">
        <f>Table1_1[[#This Row],[Sales]]-Table1_1[[#This Row],[Sales]]*Table1_1[[#This Row],[Discount]]</f>
        <v>109.87200000000001</v>
      </c>
      <c r="K1725" s="1">
        <v>44948</v>
      </c>
      <c r="L1725" s="11">
        <v>44952</v>
      </c>
      <c r="M1725">
        <f>DATEDIF(Table1_1[[#This Row],[Order Date]],Table1_1[[#This Row],[Ship Date]],"D")</f>
        <v>4</v>
      </c>
    </row>
    <row r="1726" spans="1:13" x14ac:dyDescent="0.35">
      <c r="A1726" t="s">
        <v>2142</v>
      </c>
      <c r="B1726" t="s">
        <v>674</v>
      </c>
      <c r="C1726" t="s">
        <v>565</v>
      </c>
      <c r="D1726" s="2">
        <v>2021.38</v>
      </c>
      <c r="E1726">
        <v>7</v>
      </c>
      <c r="F1726">
        <v>0.1</v>
      </c>
      <c r="G1726" t="s">
        <v>19</v>
      </c>
      <c r="H1726" t="s">
        <v>15</v>
      </c>
      <c r="I1726" t="s">
        <v>20</v>
      </c>
      <c r="J1726" s="2">
        <f>Table1_1[[#This Row],[Sales]]-Table1_1[[#This Row],[Sales]]*Table1_1[[#This Row],[Discount]]</f>
        <v>1819.2420000000002</v>
      </c>
      <c r="K1726" s="1">
        <v>45603</v>
      </c>
      <c r="L1726" s="11">
        <v>45607</v>
      </c>
      <c r="M1726">
        <f>DATEDIF(Table1_1[[#This Row],[Order Date]],Table1_1[[#This Row],[Ship Date]],"D")</f>
        <v>4</v>
      </c>
    </row>
    <row r="1727" spans="1:13" x14ac:dyDescent="0.35">
      <c r="A1727" t="s">
        <v>2143</v>
      </c>
      <c r="B1727" t="s">
        <v>791</v>
      </c>
      <c r="C1727" t="s">
        <v>180</v>
      </c>
      <c r="D1727" s="2">
        <v>4920.8900000000003</v>
      </c>
      <c r="E1727">
        <v>7</v>
      </c>
      <c r="F1727">
        <v>0.2</v>
      </c>
      <c r="G1727" t="s">
        <v>14</v>
      </c>
      <c r="H1727" t="s">
        <v>21</v>
      </c>
      <c r="I1727" t="s">
        <v>20</v>
      </c>
      <c r="J1727" s="2">
        <f>Table1_1[[#This Row],[Sales]]-Table1_1[[#This Row],[Sales]]*Table1_1[[#This Row],[Discount]]</f>
        <v>3936.7120000000004</v>
      </c>
      <c r="K1727" s="1">
        <v>45136</v>
      </c>
      <c r="L1727" s="11">
        <v>45141</v>
      </c>
      <c r="M1727">
        <f>DATEDIF(Table1_1[[#This Row],[Order Date]],Table1_1[[#This Row],[Ship Date]],"D")</f>
        <v>5</v>
      </c>
    </row>
    <row r="1728" spans="1:13" x14ac:dyDescent="0.35">
      <c r="A1728" t="s">
        <v>2144</v>
      </c>
      <c r="B1728" t="s">
        <v>1083</v>
      </c>
      <c r="C1728" t="s">
        <v>243</v>
      </c>
      <c r="D1728" s="2">
        <v>1534.1</v>
      </c>
      <c r="E1728">
        <v>6</v>
      </c>
      <c r="F1728">
        <v>0.3</v>
      </c>
      <c r="G1728" t="s">
        <v>14</v>
      </c>
      <c r="H1728" t="s">
        <v>15</v>
      </c>
      <c r="I1728" t="s">
        <v>16</v>
      </c>
      <c r="J1728" s="2">
        <f>Table1_1[[#This Row],[Sales]]-Table1_1[[#This Row],[Sales]]*Table1_1[[#This Row],[Discount]]</f>
        <v>1073.8699999999999</v>
      </c>
      <c r="K1728" s="1">
        <v>45651</v>
      </c>
      <c r="L1728" s="11">
        <v>45658</v>
      </c>
      <c r="M1728">
        <f>DATEDIF(Table1_1[[#This Row],[Order Date]],Table1_1[[#This Row],[Ship Date]],"D")</f>
        <v>7</v>
      </c>
    </row>
    <row r="1729" spans="1:13" x14ac:dyDescent="0.35">
      <c r="A1729" t="s">
        <v>2145</v>
      </c>
      <c r="B1729" t="s">
        <v>70</v>
      </c>
      <c r="C1729" t="s">
        <v>458</v>
      </c>
      <c r="D1729" s="2">
        <v>3530.13</v>
      </c>
      <c r="E1729">
        <v>3</v>
      </c>
      <c r="F1729">
        <v>0.2</v>
      </c>
      <c r="G1729" t="s">
        <v>39</v>
      </c>
      <c r="H1729" t="s">
        <v>21</v>
      </c>
      <c r="I1729" t="s">
        <v>20</v>
      </c>
      <c r="J1729" s="2">
        <f>Table1_1[[#This Row],[Sales]]-Table1_1[[#This Row],[Sales]]*Table1_1[[#This Row],[Discount]]</f>
        <v>2824.1040000000003</v>
      </c>
      <c r="K1729" s="1">
        <v>45089</v>
      </c>
      <c r="L1729" s="11">
        <v>45090</v>
      </c>
      <c r="M1729">
        <f>DATEDIF(Table1_1[[#This Row],[Order Date]],Table1_1[[#This Row],[Ship Date]],"D")</f>
        <v>1</v>
      </c>
    </row>
    <row r="1730" spans="1:13" x14ac:dyDescent="0.35">
      <c r="A1730" t="s">
        <v>2146</v>
      </c>
      <c r="B1730" t="s">
        <v>1307</v>
      </c>
      <c r="C1730" t="s">
        <v>408</v>
      </c>
      <c r="D1730" s="2">
        <v>1098.9000000000001</v>
      </c>
      <c r="E1730">
        <v>8</v>
      </c>
      <c r="F1730">
        <v>0</v>
      </c>
      <c r="G1730" t="s">
        <v>14</v>
      </c>
      <c r="H1730" t="s">
        <v>21</v>
      </c>
      <c r="I1730" t="s">
        <v>16</v>
      </c>
      <c r="J1730" s="2">
        <f>Table1_1[[#This Row],[Sales]]-Table1_1[[#This Row],[Sales]]*Table1_1[[#This Row],[Discount]]</f>
        <v>1098.9000000000001</v>
      </c>
      <c r="K1730" s="1">
        <v>45256</v>
      </c>
      <c r="L1730" s="11">
        <v>45258</v>
      </c>
      <c r="M1730">
        <f>DATEDIF(Table1_1[[#This Row],[Order Date]],Table1_1[[#This Row],[Ship Date]],"D")</f>
        <v>2</v>
      </c>
    </row>
    <row r="1731" spans="1:13" x14ac:dyDescent="0.35">
      <c r="A1731" t="s">
        <v>2147</v>
      </c>
      <c r="B1731" t="s">
        <v>418</v>
      </c>
      <c r="C1731" t="s">
        <v>911</v>
      </c>
      <c r="D1731" s="2">
        <v>3309.33</v>
      </c>
      <c r="E1731">
        <v>7</v>
      </c>
      <c r="F1731">
        <v>0.1</v>
      </c>
      <c r="G1731" t="s">
        <v>14</v>
      </c>
      <c r="H1731" t="s">
        <v>15</v>
      </c>
      <c r="I1731" t="s">
        <v>16</v>
      </c>
      <c r="J1731" s="2">
        <f>Table1_1[[#This Row],[Sales]]-Table1_1[[#This Row],[Sales]]*Table1_1[[#This Row],[Discount]]</f>
        <v>2978.3969999999999</v>
      </c>
      <c r="K1731" s="1">
        <v>45620</v>
      </c>
      <c r="L1731" s="11">
        <v>45626</v>
      </c>
      <c r="M1731">
        <f>DATEDIF(Table1_1[[#This Row],[Order Date]],Table1_1[[#This Row],[Ship Date]],"D")</f>
        <v>6</v>
      </c>
    </row>
    <row r="1732" spans="1:13" x14ac:dyDescent="0.35">
      <c r="A1732" t="s">
        <v>2148</v>
      </c>
      <c r="B1732" t="s">
        <v>652</v>
      </c>
      <c r="C1732" t="s">
        <v>318</v>
      </c>
      <c r="D1732" s="2">
        <v>2569.0500000000002</v>
      </c>
      <c r="E1732">
        <v>6</v>
      </c>
      <c r="F1732">
        <v>0.1</v>
      </c>
      <c r="G1732" t="s">
        <v>14</v>
      </c>
      <c r="H1732" t="s">
        <v>15</v>
      </c>
      <c r="I1732" t="s">
        <v>43</v>
      </c>
      <c r="J1732" s="2">
        <f>Table1_1[[#This Row],[Sales]]-Table1_1[[#This Row],[Sales]]*Table1_1[[#This Row],[Discount]]</f>
        <v>2312.145</v>
      </c>
      <c r="K1732" s="1">
        <v>44969</v>
      </c>
      <c r="L1732" s="11">
        <v>44974</v>
      </c>
      <c r="M1732">
        <f>DATEDIF(Table1_1[[#This Row],[Order Date]],Table1_1[[#This Row],[Ship Date]],"D")</f>
        <v>5</v>
      </c>
    </row>
    <row r="1733" spans="1:13" x14ac:dyDescent="0.35">
      <c r="A1733" t="s">
        <v>2149</v>
      </c>
      <c r="B1733" t="s">
        <v>414</v>
      </c>
      <c r="C1733" t="s">
        <v>99</v>
      </c>
      <c r="D1733" s="2">
        <v>779.15</v>
      </c>
      <c r="E1733">
        <v>9</v>
      </c>
      <c r="F1733">
        <v>0.1</v>
      </c>
      <c r="G1733" t="s">
        <v>19</v>
      </c>
      <c r="H1733" t="s">
        <v>21</v>
      </c>
      <c r="I1733" t="s">
        <v>43</v>
      </c>
      <c r="J1733" s="2">
        <f>Table1_1[[#This Row],[Sales]]-Table1_1[[#This Row],[Sales]]*Table1_1[[#This Row],[Discount]]</f>
        <v>701.23500000000001</v>
      </c>
      <c r="K1733" s="1">
        <v>45341</v>
      </c>
      <c r="L1733" s="11">
        <v>45346</v>
      </c>
      <c r="M1733">
        <f>DATEDIF(Table1_1[[#This Row],[Order Date]],Table1_1[[#This Row],[Ship Date]],"D")</f>
        <v>5</v>
      </c>
    </row>
    <row r="1734" spans="1:13" x14ac:dyDescent="0.35">
      <c r="A1734" t="s">
        <v>2150</v>
      </c>
      <c r="B1734" t="s">
        <v>434</v>
      </c>
      <c r="C1734" t="s">
        <v>310</v>
      </c>
      <c r="D1734" s="2">
        <v>3760.03</v>
      </c>
      <c r="E1734">
        <v>8</v>
      </c>
      <c r="F1734">
        <v>0.3</v>
      </c>
      <c r="G1734" t="s">
        <v>39</v>
      </c>
      <c r="H1734" t="s">
        <v>21</v>
      </c>
      <c r="I1734" t="s">
        <v>16</v>
      </c>
      <c r="J1734" s="2">
        <f>Table1_1[[#This Row],[Sales]]-Table1_1[[#This Row],[Sales]]*Table1_1[[#This Row],[Discount]]</f>
        <v>2632.0210000000002</v>
      </c>
      <c r="K1734" s="1">
        <v>45194</v>
      </c>
      <c r="L1734" s="11">
        <v>45199</v>
      </c>
      <c r="M1734">
        <f>DATEDIF(Table1_1[[#This Row],[Order Date]],Table1_1[[#This Row],[Ship Date]],"D")</f>
        <v>5</v>
      </c>
    </row>
    <row r="1735" spans="1:13" x14ac:dyDescent="0.35">
      <c r="A1735" t="s">
        <v>2151</v>
      </c>
      <c r="B1735" t="s">
        <v>492</v>
      </c>
      <c r="C1735" t="s">
        <v>436</v>
      </c>
      <c r="D1735" s="2">
        <v>2408.92</v>
      </c>
      <c r="E1735">
        <v>1</v>
      </c>
      <c r="F1735">
        <v>0.2</v>
      </c>
      <c r="G1735" t="s">
        <v>39</v>
      </c>
      <c r="H1735" t="s">
        <v>21</v>
      </c>
      <c r="I1735" t="s">
        <v>43</v>
      </c>
      <c r="J1735" s="2">
        <f>Table1_1[[#This Row],[Sales]]-Table1_1[[#This Row],[Sales]]*Table1_1[[#This Row],[Discount]]</f>
        <v>1927.136</v>
      </c>
      <c r="K1735" s="1">
        <v>45652</v>
      </c>
      <c r="L1735" s="11">
        <v>45654</v>
      </c>
      <c r="M1735">
        <f>DATEDIF(Table1_1[[#This Row],[Order Date]],Table1_1[[#This Row],[Ship Date]],"D")</f>
        <v>2</v>
      </c>
    </row>
    <row r="1736" spans="1:13" x14ac:dyDescent="0.35">
      <c r="A1736" t="s">
        <v>2152</v>
      </c>
      <c r="B1736" t="s">
        <v>110</v>
      </c>
      <c r="C1736" t="s">
        <v>820</v>
      </c>
      <c r="D1736" s="2">
        <v>514.44000000000005</v>
      </c>
      <c r="E1736">
        <v>10</v>
      </c>
      <c r="F1736">
        <v>0</v>
      </c>
      <c r="G1736" t="s">
        <v>14</v>
      </c>
      <c r="H1736" t="s">
        <v>15</v>
      </c>
      <c r="I1736" t="s">
        <v>20</v>
      </c>
      <c r="J1736" s="2">
        <f>Table1_1[[#This Row],[Sales]]-Table1_1[[#This Row],[Sales]]*Table1_1[[#This Row],[Discount]]</f>
        <v>514.44000000000005</v>
      </c>
      <c r="K1736" s="1">
        <v>45024</v>
      </c>
      <c r="L1736" s="11">
        <v>45027</v>
      </c>
      <c r="M1736">
        <f>DATEDIF(Table1_1[[#This Row],[Order Date]],Table1_1[[#This Row],[Ship Date]],"D")</f>
        <v>3</v>
      </c>
    </row>
    <row r="1737" spans="1:13" x14ac:dyDescent="0.35">
      <c r="A1737" t="s">
        <v>2153</v>
      </c>
      <c r="B1737" t="s">
        <v>842</v>
      </c>
      <c r="C1737" t="s">
        <v>820</v>
      </c>
      <c r="D1737" s="2">
        <v>3856.9</v>
      </c>
      <c r="E1737">
        <v>10</v>
      </c>
      <c r="F1737">
        <v>0</v>
      </c>
      <c r="G1737" t="s">
        <v>19</v>
      </c>
      <c r="H1737" t="s">
        <v>21</v>
      </c>
      <c r="I1737" t="s">
        <v>20</v>
      </c>
      <c r="J1737" s="2">
        <f>Table1_1[[#This Row],[Sales]]-Table1_1[[#This Row],[Sales]]*Table1_1[[#This Row],[Discount]]</f>
        <v>3856.9</v>
      </c>
      <c r="K1737" s="1">
        <v>45404</v>
      </c>
      <c r="L1737" s="11">
        <v>45411</v>
      </c>
      <c r="M1737">
        <f>DATEDIF(Table1_1[[#This Row],[Order Date]],Table1_1[[#This Row],[Ship Date]],"D")</f>
        <v>7</v>
      </c>
    </row>
    <row r="1738" spans="1:13" x14ac:dyDescent="0.35">
      <c r="A1738" t="s">
        <v>2154</v>
      </c>
      <c r="B1738" t="s">
        <v>474</v>
      </c>
      <c r="C1738" t="s">
        <v>243</v>
      </c>
      <c r="D1738" s="2">
        <v>448.72</v>
      </c>
      <c r="E1738">
        <v>8</v>
      </c>
      <c r="F1738">
        <v>0.1</v>
      </c>
      <c r="G1738" t="s">
        <v>19</v>
      </c>
      <c r="H1738" t="s">
        <v>15</v>
      </c>
      <c r="I1738" t="s">
        <v>20</v>
      </c>
      <c r="J1738" s="2">
        <f>Table1_1[[#This Row],[Sales]]-Table1_1[[#This Row],[Sales]]*Table1_1[[#This Row],[Discount]]</f>
        <v>403.84800000000001</v>
      </c>
      <c r="K1738" s="1">
        <v>45417</v>
      </c>
      <c r="L1738" s="11">
        <v>45420</v>
      </c>
      <c r="M1738">
        <f>DATEDIF(Table1_1[[#This Row],[Order Date]],Table1_1[[#This Row],[Ship Date]],"D")</f>
        <v>3</v>
      </c>
    </row>
    <row r="1739" spans="1:13" x14ac:dyDescent="0.35">
      <c r="A1739" t="s">
        <v>2155</v>
      </c>
      <c r="B1739" t="s">
        <v>349</v>
      </c>
      <c r="C1739" t="s">
        <v>511</v>
      </c>
      <c r="D1739" s="2">
        <v>4835.09</v>
      </c>
      <c r="E1739">
        <v>10</v>
      </c>
      <c r="F1739">
        <v>0.3</v>
      </c>
      <c r="G1739" t="s">
        <v>14</v>
      </c>
      <c r="H1739" t="s">
        <v>21</v>
      </c>
      <c r="I1739" t="s">
        <v>20</v>
      </c>
      <c r="J1739" s="2">
        <f>Table1_1[[#This Row],[Sales]]-Table1_1[[#This Row],[Sales]]*Table1_1[[#This Row],[Discount]]</f>
        <v>3384.5630000000001</v>
      </c>
      <c r="K1739" s="1">
        <v>45619</v>
      </c>
      <c r="L1739" s="11">
        <v>45623</v>
      </c>
      <c r="M1739">
        <f>DATEDIF(Table1_1[[#This Row],[Order Date]],Table1_1[[#This Row],[Ship Date]],"D")</f>
        <v>4</v>
      </c>
    </row>
    <row r="1740" spans="1:13" x14ac:dyDescent="0.35">
      <c r="A1740" t="s">
        <v>2156</v>
      </c>
      <c r="B1740" t="s">
        <v>324</v>
      </c>
      <c r="C1740" t="s">
        <v>91</v>
      </c>
      <c r="D1740" s="2">
        <v>3199.0949999999998</v>
      </c>
      <c r="E1740">
        <v>1</v>
      </c>
      <c r="F1740">
        <v>0.2</v>
      </c>
      <c r="G1740" t="s">
        <v>19</v>
      </c>
      <c r="H1740" t="s">
        <v>21</v>
      </c>
      <c r="I1740" t="s">
        <v>16</v>
      </c>
      <c r="J1740" s="2">
        <f>Table1_1[[#This Row],[Sales]]-Table1_1[[#This Row],[Sales]]*Table1_1[[#This Row],[Discount]]</f>
        <v>2559.2759999999998</v>
      </c>
      <c r="K1740" s="1">
        <v>45505</v>
      </c>
      <c r="L1740" s="11">
        <v>45507</v>
      </c>
      <c r="M1740">
        <f>DATEDIF(Table1_1[[#This Row],[Order Date]],Table1_1[[#This Row],[Ship Date]],"D")</f>
        <v>2</v>
      </c>
    </row>
    <row r="1741" spans="1:13" x14ac:dyDescent="0.35">
      <c r="A1741" t="s">
        <v>2157</v>
      </c>
      <c r="B1741" t="s">
        <v>1115</v>
      </c>
      <c r="C1741" t="s">
        <v>436</v>
      </c>
      <c r="D1741" s="2">
        <v>1565.5</v>
      </c>
      <c r="E1741">
        <v>9</v>
      </c>
      <c r="F1741">
        <v>0.3</v>
      </c>
      <c r="G1741" t="s">
        <v>39</v>
      </c>
      <c r="H1741" t="s">
        <v>21</v>
      </c>
      <c r="I1741" t="s">
        <v>20</v>
      </c>
      <c r="J1741" s="2">
        <f>Table1_1[[#This Row],[Sales]]-Table1_1[[#This Row],[Sales]]*Table1_1[[#This Row],[Discount]]</f>
        <v>1095.8499999999999</v>
      </c>
      <c r="K1741" s="1">
        <v>45826</v>
      </c>
      <c r="L1741" s="11">
        <v>45829</v>
      </c>
      <c r="M1741">
        <f>DATEDIF(Table1_1[[#This Row],[Order Date]],Table1_1[[#This Row],[Ship Date]],"D")</f>
        <v>3</v>
      </c>
    </row>
    <row r="1742" spans="1:13" x14ac:dyDescent="0.35">
      <c r="A1742" t="s">
        <v>2158</v>
      </c>
      <c r="B1742" t="s">
        <v>351</v>
      </c>
      <c r="C1742" t="s">
        <v>128</v>
      </c>
      <c r="D1742" s="2">
        <v>3157.09</v>
      </c>
      <c r="E1742">
        <v>3</v>
      </c>
      <c r="F1742">
        <v>0.3</v>
      </c>
      <c r="G1742" t="s">
        <v>14</v>
      </c>
      <c r="H1742" t="s">
        <v>21</v>
      </c>
      <c r="I1742" t="s">
        <v>43</v>
      </c>
      <c r="J1742" s="2">
        <f>Table1_1[[#This Row],[Sales]]-Table1_1[[#This Row],[Sales]]*Table1_1[[#This Row],[Discount]]</f>
        <v>2209.9630000000002</v>
      </c>
      <c r="K1742" s="1">
        <v>45465</v>
      </c>
      <c r="L1742" s="11">
        <v>45471</v>
      </c>
      <c r="M1742">
        <f>DATEDIF(Table1_1[[#This Row],[Order Date]],Table1_1[[#This Row],[Ship Date]],"D")</f>
        <v>6</v>
      </c>
    </row>
    <row r="1743" spans="1:13" x14ac:dyDescent="0.35">
      <c r="A1743" t="s">
        <v>2159</v>
      </c>
      <c r="B1743" t="s">
        <v>672</v>
      </c>
      <c r="C1743" t="s">
        <v>354</v>
      </c>
      <c r="D1743" s="2">
        <v>1999.17</v>
      </c>
      <c r="E1743">
        <v>8</v>
      </c>
      <c r="F1743">
        <v>0.3</v>
      </c>
      <c r="G1743" t="s">
        <v>14</v>
      </c>
      <c r="H1743" t="s">
        <v>15</v>
      </c>
      <c r="I1743" t="s">
        <v>20</v>
      </c>
      <c r="J1743" s="2">
        <f>Table1_1[[#This Row],[Sales]]-Table1_1[[#This Row],[Sales]]*Table1_1[[#This Row],[Discount]]</f>
        <v>1399.4190000000001</v>
      </c>
      <c r="K1743" s="1">
        <v>45238</v>
      </c>
      <c r="L1743" s="11">
        <v>45245</v>
      </c>
      <c r="M1743">
        <f>DATEDIF(Table1_1[[#This Row],[Order Date]],Table1_1[[#This Row],[Ship Date]],"D")</f>
        <v>7</v>
      </c>
    </row>
    <row r="1744" spans="1:13" x14ac:dyDescent="0.35">
      <c r="A1744" t="s">
        <v>2160</v>
      </c>
      <c r="B1744" t="s">
        <v>896</v>
      </c>
      <c r="C1744" t="s">
        <v>60</v>
      </c>
      <c r="D1744" s="2">
        <v>240.56</v>
      </c>
      <c r="E1744">
        <v>9</v>
      </c>
      <c r="F1744">
        <v>0</v>
      </c>
      <c r="G1744" t="s">
        <v>14</v>
      </c>
      <c r="H1744" t="s">
        <v>21</v>
      </c>
      <c r="I1744" t="s">
        <v>43</v>
      </c>
      <c r="J1744" s="2">
        <f>Table1_1[[#This Row],[Sales]]-Table1_1[[#This Row],[Sales]]*Table1_1[[#This Row],[Discount]]</f>
        <v>240.56</v>
      </c>
      <c r="K1744" s="1">
        <v>45630</v>
      </c>
      <c r="L1744" s="11">
        <v>45633</v>
      </c>
      <c r="M1744">
        <f>DATEDIF(Table1_1[[#This Row],[Order Date]],Table1_1[[#This Row],[Ship Date]],"D")</f>
        <v>3</v>
      </c>
    </row>
    <row r="1745" spans="1:13" x14ac:dyDescent="0.35">
      <c r="A1745" t="s">
        <v>2161</v>
      </c>
      <c r="B1745" t="s">
        <v>165</v>
      </c>
      <c r="C1745" t="s">
        <v>77</v>
      </c>
      <c r="D1745" s="2">
        <v>4668.2</v>
      </c>
      <c r="E1745">
        <v>9</v>
      </c>
      <c r="F1745">
        <v>0.3</v>
      </c>
      <c r="G1745" t="s">
        <v>14</v>
      </c>
      <c r="H1745" t="s">
        <v>21</v>
      </c>
      <c r="I1745" t="s">
        <v>20</v>
      </c>
      <c r="J1745" s="2">
        <f>Table1_1[[#This Row],[Sales]]-Table1_1[[#This Row],[Sales]]*Table1_1[[#This Row],[Discount]]</f>
        <v>3267.74</v>
      </c>
      <c r="K1745" s="1">
        <v>44933</v>
      </c>
      <c r="L1745" s="11">
        <v>44938</v>
      </c>
      <c r="M1745">
        <f>DATEDIF(Table1_1[[#This Row],[Order Date]],Table1_1[[#This Row],[Ship Date]],"D")</f>
        <v>5</v>
      </c>
    </row>
    <row r="1746" spans="1:13" x14ac:dyDescent="0.35">
      <c r="A1746" t="s">
        <v>2162</v>
      </c>
      <c r="B1746" t="s">
        <v>387</v>
      </c>
      <c r="C1746" t="s">
        <v>234</v>
      </c>
      <c r="D1746" s="2">
        <v>585.44000000000005</v>
      </c>
      <c r="E1746">
        <v>10</v>
      </c>
      <c r="F1746">
        <v>0.1</v>
      </c>
      <c r="G1746" t="s">
        <v>14</v>
      </c>
      <c r="H1746" t="s">
        <v>21</v>
      </c>
      <c r="I1746" t="s">
        <v>16</v>
      </c>
      <c r="J1746" s="2">
        <f>Table1_1[[#This Row],[Sales]]-Table1_1[[#This Row],[Sales]]*Table1_1[[#This Row],[Discount]]</f>
        <v>526.89600000000007</v>
      </c>
      <c r="K1746" s="1">
        <v>45336</v>
      </c>
      <c r="L1746" s="11">
        <v>45338</v>
      </c>
      <c r="M1746">
        <f>DATEDIF(Table1_1[[#This Row],[Order Date]],Table1_1[[#This Row],[Ship Date]],"D")</f>
        <v>2</v>
      </c>
    </row>
    <row r="1747" spans="1:13" x14ac:dyDescent="0.35">
      <c r="A1747" t="s">
        <v>2163</v>
      </c>
      <c r="B1747" t="s">
        <v>661</v>
      </c>
      <c r="C1747" t="s">
        <v>310</v>
      </c>
      <c r="D1747" s="2">
        <v>2072.4299999999998</v>
      </c>
      <c r="E1747">
        <v>3</v>
      </c>
      <c r="F1747">
        <v>0.2</v>
      </c>
      <c r="G1747" t="s">
        <v>39</v>
      </c>
      <c r="H1747" t="s">
        <v>21</v>
      </c>
      <c r="I1747" t="s">
        <v>20</v>
      </c>
      <c r="J1747" s="2">
        <f>Table1_1[[#This Row],[Sales]]-Table1_1[[#This Row],[Sales]]*Table1_1[[#This Row],[Discount]]</f>
        <v>1657.944</v>
      </c>
      <c r="K1747" s="1">
        <v>45487</v>
      </c>
      <c r="L1747" s="11">
        <v>45493</v>
      </c>
      <c r="M1747">
        <f>DATEDIF(Table1_1[[#This Row],[Order Date]],Table1_1[[#This Row],[Ship Date]],"D")</f>
        <v>6</v>
      </c>
    </row>
    <row r="1748" spans="1:13" x14ac:dyDescent="0.35">
      <c r="A1748" t="s">
        <v>2164</v>
      </c>
      <c r="B1748" t="s">
        <v>120</v>
      </c>
      <c r="C1748" t="s">
        <v>511</v>
      </c>
      <c r="D1748" s="2">
        <v>1744.01</v>
      </c>
      <c r="E1748">
        <v>10</v>
      </c>
      <c r="F1748">
        <v>0.2</v>
      </c>
      <c r="G1748" t="s">
        <v>14</v>
      </c>
      <c r="H1748" t="s">
        <v>15</v>
      </c>
      <c r="I1748" t="s">
        <v>16</v>
      </c>
      <c r="J1748" s="2">
        <f>Table1_1[[#This Row],[Sales]]-Table1_1[[#This Row],[Sales]]*Table1_1[[#This Row],[Discount]]</f>
        <v>1395.2080000000001</v>
      </c>
      <c r="K1748" s="1">
        <v>45751</v>
      </c>
      <c r="L1748" s="11">
        <v>45753</v>
      </c>
      <c r="M1748">
        <f>DATEDIF(Table1_1[[#This Row],[Order Date]],Table1_1[[#This Row],[Ship Date]],"D")</f>
        <v>2</v>
      </c>
    </row>
    <row r="1749" spans="1:13" x14ac:dyDescent="0.35">
      <c r="A1749" t="s">
        <v>2165</v>
      </c>
      <c r="B1749" t="s">
        <v>618</v>
      </c>
      <c r="C1749" t="s">
        <v>226</v>
      </c>
      <c r="D1749" s="2">
        <v>2686</v>
      </c>
      <c r="E1749">
        <v>6</v>
      </c>
      <c r="F1749">
        <v>0.3</v>
      </c>
      <c r="G1749" t="s">
        <v>14</v>
      </c>
      <c r="H1749" t="s">
        <v>15</v>
      </c>
      <c r="I1749" t="s">
        <v>43</v>
      </c>
      <c r="J1749" s="2">
        <f>Table1_1[[#This Row],[Sales]]-Table1_1[[#This Row],[Sales]]*Table1_1[[#This Row],[Discount]]</f>
        <v>1880.2</v>
      </c>
      <c r="K1749" s="1">
        <v>45771</v>
      </c>
      <c r="L1749" s="11">
        <v>45773</v>
      </c>
      <c r="M1749">
        <f>DATEDIF(Table1_1[[#This Row],[Order Date]],Table1_1[[#This Row],[Ship Date]],"D")</f>
        <v>2</v>
      </c>
    </row>
    <row r="1750" spans="1:13" x14ac:dyDescent="0.35">
      <c r="A1750" t="s">
        <v>2166</v>
      </c>
      <c r="B1750" t="s">
        <v>402</v>
      </c>
      <c r="C1750" t="s">
        <v>318</v>
      </c>
      <c r="D1750" s="2">
        <v>1966.7</v>
      </c>
      <c r="E1750">
        <v>10</v>
      </c>
      <c r="F1750">
        <v>0.2</v>
      </c>
      <c r="G1750" t="s">
        <v>14</v>
      </c>
      <c r="H1750" t="s">
        <v>15</v>
      </c>
      <c r="I1750" t="s">
        <v>16</v>
      </c>
      <c r="J1750" s="2">
        <f>Table1_1[[#This Row],[Sales]]-Table1_1[[#This Row],[Sales]]*Table1_1[[#This Row],[Discount]]</f>
        <v>1573.3600000000001</v>
      </c>
      <c r="K1750" s="1">
        <v>45189</v>
      </c>
      <c r="L1750" s="11">
        <v>45193</v>
      </c>
      <c r="M1750">
        <f>DATEDIF(Table1_1[[#This Row],[Order Date]],Table1_1[[#This Row],[Ship Date]],"D")</f>
        <v>4</v>
      </c>
    </row>
    <row r="1751" spans="1:13" x14ac:dyDescent="0.35">
      <c r="A1751" t="s">
        <v>2167</v>
      </c>
      <c r="B1751" t="s">
        <v>1593</v>
      </c>
      <c r="C1751" t="s">
        <v>82</v>
      </c>
      <c r="D1751" s="2">
        <v>866.59</v>
      </c>
      <c r="E1751">
        <v>7</v>
      </c>
      <c r="F1751">
        <v>0</v>
      </c>
      <c r="G1751" t="s">
        <v>14</v>
      </c>
      <c r="H1751" t="s">
        <v>21</v>
      </c>
      <c r="I1751" t="s">
        <v>43</v>
      </c>
      <c r="J1751" s="2">
        <f>Table1_1[[#This Row],[Sales]]-Table1_1[[#This Row],[Sales]]*Table1_1[[#This Row],[Discount]]</f>
        <v>866.59</v>
      </c>
      <c r="K1751" s="1">
        <v>45741</v>
      </c>
      <c r="L1751" s="11">
        <v>45745</v>
      </c>
      <c r="M1751">
        <f>DATEDIF(Table1_1[[#This Row],[Order Date]],Table1_1[[#This Row],[Ship Date]],"D")</f>
        <v>4</v>
      </c>
    </row>
    <row r="1752" spans="1:13" x14ac:dyDescent="0.35">
      <c r="A1752" t="s">
        <v>2168</v>
      </c>
      <c r="B1752" t="s">
        <v>277</v>
      </c>
      <c r="C1752" t="s">
        <v>108</v>
      </c>
      <c r="D1752" s="2">
        <v>627.19000000000005</v>
      </c>
      <c r="E1752">
        <v>1</v>
      </c>
      <c r="F1752">
        <v>0.3</v>
      </c>
      <c r="G1752" t="s">
        <v>19</v>
      </c>
      <c r="H1752" t="s">
        <v>15</v>
      </c>
      <c r="I1752" t="s">
        <v>16</v>
      </c>
      <c r="J1752" s="2">
        <f>Table1_1[[#This Row],[Sales]]-Table1_1[[#This Row],[Sales]]*Table1_1[[#This Row],[Discount]]</f>
        <v>439.03300000000002</v>
      </c>
      <c r="K1752" s="1">
        <v>45343</v>
      </c>
      <c r="L1752" s="11">
        <v>45349</v>
      </c>
      <c r="M1752">
        <f>DATEDIF(Table1_1[[#This Row],[Order Date]],Table1_1[[#This Row],[Ship Date]],"D")</f>
        <v>6</v>
      </c>
    </row>
    <row r="1753" spans="1:13" x14ac:dyDescent="0.35">
      <c r="A1753" t="s">
        <v>2169</v>
      </c>
      <c r="B1753" t="s">
        <v>577</v>
      </c>
      <c r="C1753" t="s">
        <v>223</v>
      </c>
      <c r="D1753" s="2">
        <v>3521.22</v>
      </c>
      <c r="E1753">
        <v>5</v>
      </c>
      <c r="F1753">
        <v>0</v>
      </c>
      <c r="G1753" t="s">
        <v>39</v>
      </c>
      <c r="H1753" t="s">
        <v>21</v>
      </c>
      <c r="I1753" t="s">
        <v>43</v>
      </c>
      <c r="J1753" s="2">
        <f>Table1_1[[#This Row],[Sales]]-Table1_1[[#This Row],[Sales]]*Table1_1[[#This Row],[Discount]]</f>
        <v>3521.22</v>
      </c>
      <c r="K1753" s="1">
        <v>45750</v>
      </c>
      <c r="L1753" s="11">
        <v>45755</v>
      </c>
      <c r="M1753">
        <f>DATEDIF(Table1_1[[#This Row],[Order Date]],Table1_1[[#This Row],[Ship Date]],"D")</f>
        <v>5</v>
      </c>
    </row>
    <row r="1754" spans="1:13" x14ac:dyDescent="0.35">
      <c r="A1754" t="s">
        <v>2170</v>
      </c>
      <c r="B1754" t="s">
        <v>474</v>
      </c>
      <c r="C1754" t="s">
        <v>207</v>
      </c>
      <c r="D1754" s="2">
        <v>4845</v>
      </c>
      <c r="E1754">
        <v>4</v>
      </c>
      <c r="F1754">
        <v>0</v>
      </c>
      <c r="G1754" t="s">
        <v>14</v>
      </c>
      <c r="H1754" t="s">
        <v>15</v>
      </c>
      <c r="I1754" t="s">
        <v>16</v>
      </c>
      <c r="J1754" s="2">
        <f>Table1_1[[#This Row],[Sales]]-Table1_1[[#This Row],[Sales]]*Table1_1[[#This Row],[Discount]]</f>
        <v>4845</v>
      </c>
      <c r="K1754" s="1">
        <v>45291</v>
      </c>
      <c r="L1754" s="11">
        <v>45297</v>
      </c>
      <c r="M1754">
        <f>DATEDIF(Table1_1[[#This Row],[Order Date]],Table1_1[[#This Row],[Ship Date]],"D")</f>
        <v>6</v>
      </c>
    </row>
    <row r="1755" spans="1:13" x14ac:dyDescent="0.35">
      <c r="A1755" t="s">
        <v>2171</v>
      </c>
      <c r="B1755" t="s">
        <v>48</v>
      </c>
      <c r="C1755" t="s">
        <v>511</v>
      </c>
      <c r="D1755" s="2">
        <v>2864.58</v>
      </c>
      <c r="E1755">
        <v>4</v>
      </c>
      <c r="F1755">
        <v>0.2</v>
      </c>
      <c r="G1755" t="s">
        <v>14</v>
      </c>
      <c r="H1755" t="s">
        <v>15</v>
      </c>
      <c r="I1755" t="s">
        <v>43</v>
      </c>
      <c r="J1755" s="2">
        <f>Table1_1[[#This Row],[Sales]]-Table1_1[[#This Row],[Sales]]*Table1_1[[#This Row],[Discount]]</f>
        <v>2291.6639999999998</v>
      </c>
      <c r="K1755" s="1">
        <v>45272</v>
      </c>
      <c r="L1755" s="11">
        <v>45278</v>
      </c>
      <c r="M1755">
        <f>DATEDIF(Table1_1[[#This Row],[Order Date]],Table1_1[[#This Row],[Ship Date]],"D")</f>
        <v>6</v>
      </c>
    </row>
    <row r="1756" spans="1:13" x14ac:dyDescent="0.35">
      <c r="A1756" t="s">
        <v>2172</v>
      </c>
      <c r="B1756" t="s">
        <v>122</v>
      </c>
      <c r="C1756" t="s">
        <v>384</v>
      </c>
      <c r="D1756" s="2">
        <v>4386.88</v>
      </c>
      <c r="E1756">
        <v>3</v>
      </c>
      <c r="F1756">
        <v>0.1</v>
      </c>
      <c r="G1756" t="s">
        <v>14</v>
      </c>
      <c r="H1756" t="s">
        <v>15</v>
      </c>
      <c r="I1756" t="s">
        <v>20</v>
      </c>
      <c r="J1756" s="2">
        <f>Table1_1[[#This Row],[Sales]]-Table1_1[[#This Row],[Sales]]*Table1_1[[#This Row],[Discount]]</f>
        <v>3948.192</v>
      </c>
      <c r="K1756" s="1">
        <v>45440</v>
      </c>
      <c r="L1756" s="11">
        <v>45444</v>
      </c>
      <c r="M1756">
        <f>DATEDIF(Table1_1[[#This Row],[Order Date]],Table1_1[[#This Row],[Ship Date]],"D")</f>
        <v>4</v>
      </c>
    </row>
    <row r="1757" spans="1:13" x14ac:dyDescent="0.35">
      <c r="A1757" t="s">
        <v>2173</v>
      </c>
      <c r="B1757" t="s">
        <v>541</v>
      </c>
      <c r="C1757" t="s">
        <v>94</v>
      </c>
      <c r="D1757" s="2">
        <v>4338.6400000000003</v>
      </c>
      <c r="E1757">
        <v>9</v>
      </c>
      <c r="F1757">
        <v>0.2</v>
      </c>
      <c r="G1757" t="s">
        <v>14</v>
      </c>
      <c r="H1757" t="s">
        <v>15</v>
      </c>
      <c r="I1757" t="s">
        <v>16</v>
      </c>
      <c r="J1757" s="2">
        <f>Table1_1[[#This Row],[Sales]]-Table1_1[[#This Row],[Sales]]*Table1_1[[#This Row],[Discount]]</f>
        <v>3470.9120000000003</v>
      </c>
      <c r="K1757" s="1">
        <v>45458</v>
      </c>
      <c r="L1757" s="11">
        <v>45464</v>
      </c>
      <c r="M1757">
        <f>DATEDIF(Table1_1[[#This Row],[Order Date]],Table1_1[[#This Row],[Ship Date]],"D")</f>
        <v>6</v>
      </c>
    </row>
    <row r="1758" spans="1:13" x14ac:dyDescent="0.35">
      <c r="A1758" t="s">
        <v>2174</v>
      </c>
      <c r="B1758" t="s">
        <v>142</v>
      </c>
      <c r="C1758" t="s">
        <v>259</v>
      </c>
      <c r="D1758" s="2">
        <v>2972.05</v>
      </c>
      <c r="E1758">
        <v>1</v>
      </c>
      <c r="F1758">
        <v>0.2</v>
      </c>
      <c r="G1758" t="s">
        <v>14</v>
      </c>
      <c r="H1758" t="s">
        <v>21</v>
      </c>
      <c r="I1758" t="s">
        <v>16</v>
      </c>
      <c r="J1758" s="2">
        <f>Table1_1[[#This Row],[Sales]]-Table1_1[[#This Row],[Sales]]*Table1_1[[#This Row],[Discount]]</f>
        <v>2377.6400000000003</v>
      </c>
      <c r="K1758" s="1">
        <v>45051</v>
      </c>
      <c r="L1758" s="11">
        <v>45055</v>
      </c>
      <c r="M1758">
        <f>DATEDIF(Table1_1[[#This Row],[Order Date]],Table1_1[[#This Row],[Ship Date]],"D")</f>
        <v>4</v>
      </c>
    </row>
    <row r="1759" spans="1:13" x14ac:dyDescent="0.35">
      <c r="A1759" t="s">
        <v>2175</v>
      </c>
      <c r="B1759" t="s">
        <v>1073</v>
      </c>
      <c r="C1759" t="s">
        <v>152</v>
      </c>
      <c r="D1759" s="2">
        <v>3492.11</v>
      </c>
      <c r="E1759">
        <v>10</v>
      </c>
      <c r="F1759">
        <v>0.3</v>
      </c>
      <c r="G1759" t="s">
        <v>14</v>
      </c>
      <c r="H1759" t="s">
        <v>21</v>
      </c>
      <c r="I1759" t="s">
        <v>16</v>
      </c>
      <c r="J1759" s="2">
        <f>Table1_1[[#This Row],[Sales]]-Table1_1[[#This Row],[Sales]]*Table1_1[[#This Row],[Discount]]</f>
        <v>2444.4769999999999</v>
      </c>
      <c r="K1759" s="1">
        <v>45457</v>
      </c>
      <c r="L1759" s="11">
        <v>45461</v>
      </c>
      <c r="M1759">
        <f>DATEDIF(Table1_1[[#This Row],[Order Date]],Table1_1[[#This Row],[Ship Date]],"D")</f>
        <v>4</v>
      </c>
    </row>
    <row r="1760" spans="1:13" x14ac:dyDescent="0.35">
      <c r="A1760" t="s">
        <v>2176</v>
      </c>
      <c r="B1760" t="s">
        <v>41</v>
      </c>
      <c r="C1760" t="s">
        <v>911</v>
      </c>
      <c r="D1760" s="2">
        <v>3066.89</v>
      </c>
      <c r="E1760">
        <v>4</v>
      </c>
      <c r="F1760">
        <v>0</v>
      </c>
      <c r="G1760" t="s">
        <v>14</v>
      </c>
      <c r="H1760" t="s">
        <v>15</v>
      </c>
      <c r="I1760" t="s">
        <v>20</v>
      </c>
      <c r="J1760" s="2">
        <f>Table1_1[[#This Row],[Sales]]-Table1_1[[#This Row],[Sales]]*Table1_1[[#This Row],[Discount]]</f>
        <v>3066.89</v>
      </c>
      <c r="K1760" s="1">
        <v>45224</v>
      </c>
      <c r="L1760" s="11">
        <v>45227</v>
      </c>
      <c r="M1760">
        <f>DATEDIF(Table1_1[[#This Row],[Order Date]],Table1_1[[#This Row],[Ship Date]],"D")</f>
        <v>3</v>
      </c>
    </row>
    <row r="1761" spans="1:13" x14ac:dyDescent="0.35">
      <c r="A1761" t="s">
        <v>2177</v>
      </c>
      <c r="B1761" t="s">
        <v>835</v>
      </c>
      <c r="C1761" t="s">
        <v>336</v>
      </c>
      <c r="D1761" s="2">
        <v>3508.37</v>
      </c>
      <c r="E1761">
        <v>1</v>
      </c>
      <c r="F1761">
        <v>0.1</v>
      </c>
      <c r="G1761" t="s">
        <v>39</v>
      </c>
      <c r="H1761" t="s">
        <v>21</v>
      </c>
      <c r="I1761" t="s">
        <v>16</v>
      </c>
      <c r="J1761" s="2">
        <f>Table1_1[[#This Row],[Sales]]-Table1_1[[#This Row],[Sales]]*Table1_1[[#This Row],[Discount]]</f>
        <v>3157.5329999999999</v>
      </c>
      <c r="K1761" s="1">
        <v>45151</v>
      </c>
      <c r="L1761" s="11">
        <v>45157</v>
      </c>
      <c r="M1761">
        <f>DATEDIF(Table1_1[[#This Row],[Order Date]],Table1_1[[#This Row],[Ship Date]],"D")</f>
        <v>6</v>
      </c>
    </row>
    <row r="1762" spans="1:13" x14ac:dyDescent="0.35">
      <c r="A1762" t="s">
        <v>2178</v>
      </c>
      <c r="B1762" t="s">
        <v>933</v>
      </c>
      <c r="C1762" t="s">
        <v>262</v>
      </c>
      <c r="D1762" s="2">
        <v>3013.44</v>
      </c>
      <c r="E1762">
        <v>8</v>
      </c>
      <c r="F1762">
        <v>0.2</v>
      </c>
      <c r="G1762" t="s">
        <v>19</v>
      </c>
      <c r="H1762" t="s">
        <v>15</v>
      </c>
      <c r="I1762" t="s">
        <v>43</v>
      </c>
      <c r="J1762" s="2">
        <f>Table1_1[[#This Row],[Sales]]-Table1_1[[#This Row],[Sales]]*Table1_1[[#This Row],[Discount]]</f>
        <v>2410.752</v>
      </c>
      <c r="K1762" s="1">
        <v>45070</v>
      </c>
      <c r="L1762" s="11">
        <v>45074</v>
      </c>
      <c r="M1762">
        <f>DATEDIF(Table1_1[[#This Row],[Order Date]],Table1_1[[#This Row],[Ship Date]],"D")</f>
        <v>4</v>
      </c>
    </row>
    <row r="1763" spans="1:13" x14ac:dyDescent="0.35">
      <c r="A1763" t="s">
        <v>2179</v>
      </c>
      <c r="B1763" t="s">
        <v>1434</v>
      </c>
      <c r="C1763" t="s">
        <v>273</v>
      </c>
      <c r="D1763" s="2">
        <v>3646.65</v>
      </c>
      <c r="E1763">
        <v>2</v>
      </c>
      <c r="F1763">
        <v>0</v>
      </c>
      <c r="G1763" t="s">
        <v>14</v>
      </c>
      <c r="H1763" t="s">
        <v>15</v>
      </c>
      <c r="I1763" t="s">
        <v>43</v>
      </c>
      <c r="J1763" s="2">
        <f>Table1_1[[#This Row],[Sales]]-Table1_1[[#This Row],[Sales]]*Table1_1[[#This Row],[Discount]]</f>
        <v>3646.65</v>
      </c>
      <c r="K1763" s="1">
        <v>45110</v>
      </c>
      <c r="L1763" s="11">
        <v>45115</v>
      </c>
      <c r="M1763">
        <f>DATEDIF(Table1_1[[#This Row],[Order Date]],Table1_1[[#This Row],[Ship Date]],"D")</f>
        <v>5</v>
      </c>
    </row>
    <row r="1764" spans="1:13" x14ac:dyDescent="0.35">
      <c r="A1764" t="s">
        <v>2180</v>
      </c>
      <c r="B1764" t="s">
        <v>420</v>
      </c>
      <c r="C1764" t="s">
        <v>166</v>
      </c>
      <c r="D1764" s="2">
        <v>3835.99</v>
      </c>
      <c r="E1764">
        <v>6</v>
      </c>
      <c r="F1764">
        <v>0.1</v>
      </c>
      <c r="G1764" t="s">
        <v>39</v>
      </c>
      <c r="H1764" t="s">
        <v>21</v>
      </c>
      <c r="I1764" t="s">
        <v>20</v>
      </c>
      <c r="J1764" s="2">
        <f>Table1_1[[#This Row],[Sales]]-Table1_1[[#This Row],[Sales]]*Table1_1[[#This Row],[Discount]]</f>
        <v>3452.3909999999996</v>
      </c>
      <c r="K1764" s="1">
        <v>45422</v>
      </c>
      <c r="L1764" s="11">
        <v>45426</v>
      </c>
      <c r="M1764">
        <f>DATEDIF(Table1_1[[#This Row],[Order Date]],Table1_1[[#This Row],[Ship Date]],"D")</f>
        <v>4</v>
      </c>
    </row>
    <row r="1765" spans="1:13" x14ac:dyDescent="0.35">
      <c r="A1765" t="s">
        <v>2181</v>
      </c>
      <c r="B1765" t="s">
        <v>570</v>
      </c>
      <c r="C1765" t="s">
        <v>408</v>
      </c>
      <c r="D1765" s="2">
        <v>2643.95</v>
      </c>
      <c r="E1765">
        <v>3</v>
      </c>
      <c r="F1765">
        <v>0.3</v>
      </c>
      <c r="G1765" t="s">
        <v>14</v>
      </c>
      <c r="H1765" t="s">
        <v>15</v>
      </c>
      <c r="I1765" t="s">
        <v>43</v>
      </c>
      <c r="J1765" s="2">
        <f>Table1_1[[#This Row],[Sales]]-Table1_1[[#This Row],[Sales]]*Table1_1[[#This Row],[Discount]]</f>
        <v>1850.7649999999999</v>
      </c>
      <c r="K1765" s="1">
        <v>44955</v>
      </c>
      <c r="L1765" s="11">
        <v>44956</v>
      </c>
      <c r="M1765">
        <f>DATEDIF(Table1_1[[#This Row],[Order Date]],Table1_1[[#This Row],[Ship Date]],"D")</f>
        <v>1</v>
      </c>
    </row>
    <row r="1766" spans="1:13" x14ac:dyDescent="0.35">
      <c r="A1766" t="s">
        <v>2182</v>
      </c>
      <c r="B1766" t="s">
        <v>407</v>
      </c>
      <c r="C1766" t="s">
        <v>237</v>
      </c>
      <c r="D1766" s="2">
        <v>2608.4899999999998</v>
      </c>
      <c r="E1766">
        <v>6</v>
      </c>
      <c r="F1766">
        <v>0.1</v>
      </c>
      <c r="G1766" t="s">
        <v>14</v>
      </c>
      <c r="H1766" t="s">
        <v>15</v>
      </c>
      <c r="I1766" t="s">
        <v>16</v>
      </c>
      <c r="J1766" s="2">
        <f>Table1_1[[#This Row],[Sales]]-Table1_1[[#This Row],[Sales]]*Table1_1[[#This Row],[Discount]]</f>
        <v>2347.6409999999996</v>
      </c>
      <c r="K1766" s="1">
        <v>45657</v>
      </c>
      <c r="L1766" s="11">
        <v>45664</v>
      </c>
      <c r="M1766">
        <f>DATEDIF(Table1_1[[#This Row],[Order Date]],Table1_1[[#This Row],[Ship Date]],"D")</f>
        <v>7</v>
      </c>
    </row>
    <row r="1767" spans="1:13" x14ac:dyDescent="0.35">
      <c r="A1767" t="s">
        <v>2183</v>
      </c>
      <c r="B1767" t="s">
        <v>699</v>
      </c>
      <c r="C1767" t="s">
        <v>388</v>
      </c>
      <c r="D1767" s="2">
        <v>873.97</v>
      </c>
      <c r="E1767">
        <v>8</v>
      </c>
      <c r="F1767">
        <v>0.2</v>
      </c>
      <c r="G1767" t="s">
        <v>39</v>
      </c>
      <c r="H1767" t="s">
        <v>21</v>
      </c>
      <c r="I1767" t="s">
        <v>20</v>
      </c>
      <c r="J1767" s="2">
        <f>Table1_1[[#This Row],[Sales]]-Table1_1[[#This Row],[Sales]]*Table1_1[[#This Row],[Discount]]</f>
        <v>699.17600000000004</v>
      </c>
      <c r="K1767" s="1">
        <v>44945</v>
      </c>
      <c r="L1767" s="11">
        <v>44951</v>
      </c>
      <c r="M1767">
        <f>DATEDIF(Table1_1[[#This Row],[Order Date]],Table1_1[[#This Row],[Ship Date]],"D")</f>
        <v>6</v>
      </c>
    </row>
    <row r="1768" spans="1:13" x14ac:dyDescent="0.35">
      <c r="A1768" t="s">
        <v>2184</v>
      </c>
      <c r="B1768" t="s">
        <v>1829</v>
      </c>
      <c r="C1768" t="s">
        <v>82</v>
      </c>
      <c r="D1768" s="2">
        <v>2048.91</v>
      </c>
      <c r="E1768">
        <v>6</v>
      </c>
      <c r="F1768">
        <v>0.2</v>
      </c>
      <c r="G1768" t="s">
        <v>14</v>
      </c>
      <c r="H1768" t="s">
        <v>21</v>
      </c>
      <c r="I1768" t="s">
        <v>16</v>
      </c>
      <c r="J1768" s="2">
        <f>Table1_1[[#This Row],[Sales]]-Table1_1[[#This Row],[Sales]]*Table1_1[[#This Row],[Discount]]</f>
        <v>1639.1279999999999</v>
      </c>
      <c r="K1768" s="1">
        <v>45204</v>
      </c>
      <c r="L1768" s="11">
        <v>45210</v>
      </c>
      <c r="M1768">
        <f>DATEDIF(Table1_1[[#This Row],[Order Date]],Table1_1[[#This Row],[Ship Date]],"D")</f>
        <v>6</v>
      </c>
    </row>
    <row r="1769" spans="1:13" x14ac:dyDescent="0.35">
      <c r="A1769" t="s">
        <v>2185</v>
      </c>
      <c r="B1769" t="s">
        <v>807</v>
      </c>
      <c r="C1769" t="s">
        <v>237</v>
      </c>
      <c r="D1769" s="2">
        <v>3623.29</v>
      </c>
      <c r="E1769">
        <v>7</v>
      </c>
      <c r="F1769">
        <v>0</v>
      </c>
      <c r="G1769" t="s">
        <v>14</v>
      </c>
      <c r="H1769" t="s">
        <v>15</v>
      </c>
      <c r="I1769" t="s">
        <v>43</v>
      </c>
      <c r="J1769" s="2">
        <f>Table1_1[[#This Row],[Sales]]-Table1_1[[#This Row],[Sales]]*Table1_1[[#This Row],[Discount]]</f>
        <v>3623.29</v>
      </c>
      <c r="K1769" s="1">
        <v>45815</v>
      </c>
      <c r="L1769" s="11">
        <v>45816</v>
      </c>
      <c r="M1769">
        <f>DATEDIF(Table1_1[[#This Row],[Order Date]],Table1_1[[#This Row],[Ship Date]],"D")</f>
        <v>1</v>
      </c>
    </row>
    <row r="1770" spans="1:13" x14ac:dyDescent="0.35">
      <c r="A1770" t="s">
        <v>2186</v>
      </c>
      <c r="B1770" t="s">
        <v>949</v>
      </c>
      <c r="C1770" t="s">
        <v>291</v>
      </c>
      <c r="D1770" s="2">
        <v>673.47</v>
      </c>
      <c r="E1770">
        <v>5</v>
      </c>
      <c r="F1770">
        <v>0.1</v>
      </c>
      <c r="G1770" t="s">
        <v>39</v>
      </c>
      <c r="H1770" t="s">
        <v>15</v>
      </c>
      <c r="I1770" t="s">
        <v>43</v>
      </c>
      <c r="J1770" s="2">
        <f>Table1_1[[#This Row],[Sales]]-Table1_1[[#This Row],[Sales]]*Table1_1[[#This Row],[Discount]]</f>
        <v>606.12300000000005</v>
      </c>
      <c r="K1770" s="1">
        <v>45272</v>
      </c>
      <c r="L1770" s="11">
        <v>45275</v>
      </c>
      <c r="M1770">
        <f>DATEDIF(Table1_1[[#This Row],[Order Date]],Table1_1[[#This Row],[Ship Date]],"D")</f>
        <v>3</v>
      </c>
    </row>
    <row r="1771" spans="1:13" x14ac:dyDescent="0.35">
      <c r="A1771" t="s">
        <v>2187</v>
      </c>
      <c r="B1771" t="s">
        <v>1460</v>
      </c>
      <c r="C1771" t="s">
        <v>237</v>
      </c>
      <c r="D1771" s="2">
        <v>4192.26</v>
      </c>
      <c r="E1771">
        <v>10</v>
      </c>
      <c r="F1771">
        <v>0.2</v>
      </c>
      <c r="G1771" t="s">
        <v>19</v>
      </c>
      <c r="H1771" t="s">
        <v>21</v>
      </c>
      <c r="I1771" t="s">
        <v>43</v>
      </c>
      <c r="J1771" s="2">
        <f>Table1_1[[#This Row],[Sales]]-Table1_1[[#This Row],[Sales]]*Table1_1[[#This Row],[Discount]]</f>
        <v>3353.808</v>
      </c>
      <c r="K1771" s="1">
        <v>45492</v>
      </c>
      <c r="L1771" s="11">
        <v>45497</v>
      </c>
      <c r="M1771">
        <f>DATEDIF(Table1_1[[#This Row],[Order Date]],Table1_1[[#This Row],[Ship Date]],"D")</f>
        <v>5</v>
      </c>
    </row>
    <row r="1772" spans="1:13" x14ac:dyDescent="0.35">
      <c r="A1772" t="s">
        <v>2188</v>
      </c>
      <c r="B1772" t="s">
        <v>518</v>
      </c>
      <c r="C1772" t="s">
        <v>441</v>
      </c>
      <c r="D1772" s="2">
        <v>4528.5200000000004</v>
      </c>
      <c r="E1772">
        <v>3</v>
      </c>
      <c r="F1772">
        <v>0.3</v>
      </c>
      <c r="G1772" t="s">
        <v>39</v>
      </c>
      <c r="H1772" t="s">
        <v>21</v>
      </c>
      <c r="I1772" t="s">
        <v>43</v>
      </c>
      <c r="J1772" s="2">
        <f>Table1_1[[#This Row],[Sales]]-Table1_1[[#This Row],[Sales]]*Table1_1[[#This Row],[Discount]]</f>
        <v>3169.9640000000004</v>
      </c>
      <c r="K1772" s="1">
        <v>45689</v>
      </c>
      <c r="L1772" s="11">
        <v>45691</v>
      </c>
      <c r="M1772">
        <f>DATEDIF(Table1_1[[#This Row],[Order Date]],Table1_1[[#This Row],[Ship Date]],"D")</f>
        <v>2</v>
      </c>
    </row>
    <row r="1773" spans="1:13" x14ac:dyDescent="0.35">
      <c r="A1773" t="s">
        <v>2189</v>
      </c>
      <c r="B1773" t="s">
        <v>483</v>
      </c>
      <c r="C1773" t="s">
        <v>125</v>
      </c>
      <c r="D1773" s="2">
        <v>2076.1799999999998</v>
      </c>
      <c r="E1773">
        <v>7</v>
      </c>
      <c r="F1773">
        <v>0</v>
      </c>
      <c r="G1773" t="s">
        <v>39</v>
      </c>
      <c r="H1773" t="s">
        <v>15</v>
      </c>
      <c r="I1773" t="s">
        <v>16</v>
      </c>
      <c r="J1773" s="2">
        <f>Table1_1[[#This Row],[Sales]]-Table1_1[[#This Row],[Sales]]*Table1_1[[#This Row],[Discount]]</f>
        <v>2076.1799999999998</v>
      </c>
      <c r="K1773" s="1">
        <v>45335</v>
      </c>
      <c r="L1773" s="11">
        <v>45336</v>
      </c>
      <c r="M1773">
        <f>DATEDIF(Table1_1[[#This Row],[Order Date]],Table1_1[[#This Row],[Ship Date]],"D")</f>
        <v>1</v>
      </c>
    </row>
    <row r="1774" spans="1:13" x14ac:dyDescent="0.35">
      <c r="A1774" t="s">
        <v>2190</v>
      </c>
      <c r="B1774" t="s">
        <v>548</v>
      </c>
      <c r="C1774" t="s">
        <v>696</v>
      </c>
      <c r="D1774" s="2">
        <v>4987.72</v>
      </c>
      <c r="E1774">
        <v>9</v>
      </c>
      <c r="F1774">
        <v>0.1</v>
      </c>
      <c r="G1774" t="s">
        <v>14</v>
      </c>
      <c r="H1774" t="s">
        <v>21</v>
      </c>
      <c r="I1774" t="s">
        <v>20</v>
      </c>
      <c r="J1774" s="2">
        <f>Table1_1[[#This Row],[Sales]]-Table1_1[[#This Row],[Sales]]*Table1_1[[#This Row],[Discount]]</f>
        <v>4488.9480000000003</v>
      </c>
      <c r="K1774" s="1">
        <v>45107</v>
      </c>
      <c r="L1774" s="11">
        <v>45112</v>
      </c>
      <c r="M1774">
        <f>DATEDIF(Table1_1[[#This Row],[Order Date]],Table1_1[[#This Row],[Ship Date]],"D")</f>
        <v>5</v>
      </c>
    </row>
    <row r="1775" spans="1:13" x14ac:dyDescent="0.35">
      <c r="A1775" t="s">
        <v>2191</v>
      </c>
      <c r="B1775" t="s">
        <v>1042</v>
      </c>
      <c r="C1775" t="s">
        <v>91</v>
      </c>
      <c r="D1775" s="2">
        <v>3315.86</v>
      </c>
      <c r="E1775">
        <v>10</v>
      </c>
      <c r="F1775">
        <v>0</v>
      </c>
      <c r="G1775" t="s">
        <v>14</v>
      </c>
      <c r="H1775" t="s">
        <v>21</v>
      </c>
      <c r="I1775" t="s">
        <v>43</v>
      </c>
      <c r="J1775" s="2">
        <f>Table1_1[[#This Row],[Sales]]-Table1_1[[#This Row],[Sales]]*Table1_1[[#This Row],[Discount]]</f>
        <v>3315.86</v>
      </c>
      <c r="K1775" s="1">
        <v>45201</v>
      </c>
      <c r="L1775" s="11">
        <v>45204</v>
      </c>
      <c r="M1775">
        <f>DATEDIF(Table1_1[[#This Row],[Order Date]],Table1_1[[#This Row],[Ship Date]],"D")</f>
        <v>3</v>
      </c>
    </row>
    <row r="1776" spans="1:13" x14ac:dyDescent="0.35">
      <c r="A1776" t="s">
        <v>2192</v>
      </c>
      <c r="B1776" t="s">
        <v>331</v>
      </c>
      <c r="C1776" t="s">
        <v>62</v>
      </c>
      <c r="D1776" s="2">
        <v>901.61</v>
      </c>
      <c r="E1776">
        <v>8</v>
      </c>
      <c r="F1776">
        <v>0.3</v>
      </c>
      <c r="G1776" t="s">
        <v>39</v>
      </c>
      <c r="H1776" t="s">
        <v>15</v>
      </c>
      <c r="I1776" t="s">
        <v>16</v>
      </c>
      <c r="J1776" s="2">
        <f>Table1_1[[#This Row],[Sales]]-Table1_1[[#This Row],[Sales]]*Table1_1[[#This Row],[Discount]]</f>
        <v>631.12699999999995</v>
      </c>
      <c r="K1776" s="1">
        <v>45210</v>
      </c>
      <c r="L1776" s="11">
        <v>45212</v>
      </c>
      <c r="M1776">
        <f>DATEDIF(Table1_1[[#This Row],[Order Date]],Table1_1[[#This Row],[Ship Date]],"D")</f>
        <v>2</v>
      </c>
    </row>
    <row r="1777" spans="1:13" x14ac:dyDescent="0.35">
      <c r="A1777" t="s">
        <v>2193</v>
      </c>
      <c r="B1777" t="s">
        <v>789</v>
      </c>
      <c r="C1777" t="s">
        <v>169</v>
      </c>
      <c r="D1777" s="2">
        <v>2322.7600000000002</v>
      </c>
      <c r="E1777">
        <v>7</v>
      </c>
      <c r="F1777">
        <v>0.2</v>
      </c>
      <c r="G1777" t="s">
        <v>14</v>
      </c>
      <c r="H1777" t="s">
        <v>21</v>
      </c>
      <c r="I1777" t="s">
        <v>20</v>
      </c>
      <c r="J1777" s="2">
        <f>Table1_1[[#This Row],[Sales]]-Table1_1[[#This Row],[Sales]]*Table1_1[[#This Row],[Discount]]</f>
        <v>1858.2080000000001</v>
      </c>
      <c r="K1777" s="1">
        <v>45282</v>
      </c>
      <c r="L1777" s="11">
        <v>45285</v>
      </c>
      <c r="M1777">
        <f>DATEDIF(Table1_1[[#This Row],[Order Date]],Table1_1[[#This Row],[Ship Date]],"D")</f>
        <v>3</v>
      </c>
    </row>
    <row r="1778" spans="1:13" x14ac:dyDescent="0.35">
      <c r="A1778" t="s">
        <v>2194</v>
      </c>
      <c r="B1778" t="s">
        <v>709</v>
      </c>
      <c r="C1778" t="s">
        <v>94</v>
      </c>
      <c r="D1778" s="2">
        <v>959.32</v>
      </c>
      <c r="E1778">
        <v>9</v>
      </c>
      <c r="F1778">
        <v>0.2</v>
      </c>
      <c r="G1778" t="s">
        <v>14</v>
      </c>
      <c r="H1778" t="s">
        <v>15</v>
      </c>
      <c r="I1778" t="s">
        <v>20</v>
      </c>
      <c r="J1778" s="2">
        <f>Table1_1[[#This Row],[Sales]]-Table1_1[[#This Row],[Sales]]*Table1_1[[#This Row],[Discount]]</f>
        <v>767.45600000000002</v>
      </c>
      <c r="K1778" s="1">
        <v>45102</v>
      </c>
      <c r="L1778" s="11">
        <v>45108</v>
      </c>
      <c r="M1778">
        <f>DATEDIF(Table1_1[[#This Row],[Order Date]],Table1_1[[#This Row],[Ship Date]],"D")</f>
        <v>6</v>
      </c>
    </row>
    <row r="1779" spans="1:13" x14ac:dyDescent="0.35">
      <c r="A1779" t="s">
        <v>2195</v>
      </c>
      <c r="B1779" t="s">
        <v>548</v>
      </c>
      <c r="C1779" t="s">
        <v>243</v>
      </c>
      <c r="D1779" s="2">
        <v>381.43</v>
      </c>
      <c r="E1779">
        <v>8</v>
      </c>
      <c r="F1779">
        <v>0</v>
      </c>
      <c r="G1779" t="s">
        <v>39</v>
      </c>
      <c r="H1779" t="s">
        <v>21</v>
      </c>
      <c r="I1779" t="s">
        <v>20</v>
      </c>
      <c r="J1779" s="2">
        <f>Table1_1[[#This Row],[Sales]]-Table1_1[[#This Row],[Sales]]*Table1_1[[#This Row],[Discount]]</f>
        <v>381.43</v>
      </c>
      <c r="K1779" s="1">
        <v>45480</v>
      </c>
      <c r="L1779" s="11">
        <v>45482</v>
      </c>
      <c r="M1779">
        <f>DATEDIF(Table1_1[[#This Row],[Order Date]],Table1_1[[#This Row],[Ship Date]],"D")</f>
        <v>2</v>
      </c>
    </row>
    <row r="1780" spans="1:13" x14ac:dyDescent="0.35">
      <c r="A1780" t="s">
        <v>2196</v>
      </c>
      <c r="B1780" t="s">
        <v>1073</v>
      </c>
      <c r="C1780" t="s">
        <v>384</v>
      </c>
      <c r="D1780" s="2">
        <v>2426.56</v>
      </c>
      <c r="E1780">
        <v>7</v>
      </c>
      <c r="F1780">
        <v>0.1</v>
      </c>
      <c r="G1780" t="s">
        <v>39</v>
      </c>
      <c r="H1780" t="s">
        <v>21</v>
      </c>
      <c r="I1780" t="s">
        <v>16</v>
      </c>
      <c r="J1780" s="2">
        <f>Table1_1[[#This Row],[Sales]]-Table1_1[[#This Row],[Sales]]*Table1_1[[#This Row],[Discount]]</f>
        <v>2183.904</v>
      </c>
      <c r="K1780" s="1">
        <v>45282</v>
      </c>
      <c r="L1780" s="11">
        <v>45287</v>
      </c>
      <c r="M1780">
        <f>DATEDIF(Table1_1[[#This Row],[Order Date]],Table1_1[[#This Row],[Ship Date]],"D")</f>
        <v>5</v>
      </c>
    </row>
    <row r="1781" spans="1:13" x14ac:dyDescent="0.35">
      <c r="A1781" t="s">
        <v>2197</v>
      </c>
      <c r="B1781" t="s">
        <v>1398</v>
      </c>
      <c r="C1781" t="s">
        <v>46</v>
      </c>
      <c r="D1781" s="2">
        <v>4964.57</v>
      </c>
      <c r="E1781">
        <v>8</v>
      </c>
      <c r="F1781">
        <v>0.1</v>
      </c>
      <c r="G1781" t="s">
        <v>14</v>
      </c>
      <c r="H1781" t="s">
        <v>15</v>
      </c>
      <c r="I1781" t="s">
        <v>16</v>
      </c>
      <c r="J1781" s="2">
        <f>Table1_1[[#This Row],[Sales]]-Table1_1[[#This Row],[Sales]]*Table1_1[[#This Row],[Discount]]</f>
        <v>4468.1129999999994</v>
      </c>
      <c r="K1781" s="1">
        <v>45289</v>
      </c>
      <c r="L1781" s="11">
        <v>45295</v>
      </c>
      <c r="M1781">
        <f>DATEDIF(Table1_1[[#This Row],[Order Date]],Table1_1[[#This Row],[Ship Date]],"D")</f>
        <v>6</v>
      </c>
    </row>
    <row r="1782" spans="1:13" x14ac:dyDescent="0.35">
      <c r="A1782" t="s">
        <v>2198</v>
      </c>
      <c r="B1782" t="s">
        <v>866</v>
      </c>
      <c r="C1782" t="s">
        <v>211</v>
      </c>
      <c r="D1782" s="2">
        <v>4017.21</v>
      </c>
      <c r="E1782">
        <v>9</v>
      </c>
      <c r="F1782">
        <v>0</v>
      </c>
      <c r="G1782" t="s">
        <v>39</v>
      </c>
      <c r="H1782" t="s">
        <v>21</v>
      </c>
      <c r="I1782" t="s">
        <v>20</v>
      </c>
      <c r="J1782" s="2">
        <f>Table1_1[[#This Row],[Sales]]-Table1_1[[#This Row],[Sales]]*Table1_1[[#This Row],[Discount]]</f>
        <v>4017.21</v>
      </c>
      <c r="K1782" s="1">
        <v>45791</v>
      </c>
      <c r="L1782" s="11">
        <v>45793</v>
      </c>
      <c r="M1782">
        <f>DATEDIF(Table1_1[[#This Row],[Order Date]],Table1_1[[#This Row],[Ship Date]],"D")</f>
        <v>2</v>
      </c>
    </row>
    <row r="1783" spans="1:13" x14ac:dyDescent="0.35">
      <c r="A1783" t="s">
        <v>2199</v>
      </c>
      <c r="B1783" t="s">
        <v>209</v>
      </c>
      <c r="C1783" t="s">
        <v>662</v>
      </c>
      <c r="D1783" s="2">
        <v>3604.85</v>
      </c>
      <c r="E1783">
        <v>5</v>
      </c>
      <c r="F1783">
        <v>0.1</v>
      </c>
      <c r="G1783" t="s">
        <v>14</v>
      </c>
      <c r="H1783" t="s">
        <v>15</v>
      </c>
      <c r="I1783" t="s">
        <v>43</v>
      </c>
      <c r="J1783" s="2">
        <f>Table1_1[[#This Row],[Sales]]-Table1_1[[#This Row],[Sales]]*Table1_1[[#This Row],[Discount]]</f>
        <v>3244.3649999999998</v>
      </c>
      <c r="K1783" s="1">
        <v>45168</v>
      </c>
      <c r="L1783" s="11">
        <v>45171</v>
      </c>
      <c r="M1783">
        <f>DATEDIF(Table1_1[[#This Row],[Order Date]],Table1_1[[#This Row],[Ship Date]],"D")</f>
        <v>3</v>
      </c>
    </row>
    <row r="1784" spans="1:13" x14ac:dyDescent="0.35">
      <c r="A1784" t="s">
        <v>2200</v>
      </c>
      <c r="B1784" t="s">
        <v>101</v>
      </c>
      <c r="C1784" t="s">
        <v>441</v>
      </c>
      <c r="D1784" s="2">
        <v>2386.2800000000002</v>
      </c>
      <c r="E1784">
        <v>2</v>
      </c>
      <c r="F1784">
        <v>0.2</v>
      </c>
      <c r="G1784" t="s">
        <v>14</v>
      </c>
      <c r="H1784" t="s">
        <v>21</v>
      </c>
      <c r="I1784" t="s">
        <v>43</v>
      </c>
      <c r="J1784" s="2">
        <f>Table1_1[[#This Row],[Sales]]-Table1_1[[#This Row],[Sales]]*Table1_1[[#This Row],[Discount]]</f>
        <v>1909.0240000000001</v>
      </c>
      <c r="K1784" s="1">
        <v>45722</v>
      </c>
      <c r="L1784" s="11">
        <v>45724</v>
      </c>
      <c r="M1784">
        <f>DATEDIF(Table1_1[[#This Row],[Order Date]],Table1_1[[#This Row],[Ship Date]],"D")</f>
        <v>2</v>
      </c>
    </row>
    <row r="1785" spans="1:13" x14ac:dyDescent="0.35">
      <c r="A1785" t="s">
        <v>2201</v>
      </c>
      <c r="B1785" t="s">
        <v>424</v>
      </c>
      <c r="C1785" t="s">
        <v>229</v>
      </c>
      <c r="D1785" s="2">
        <v>3234.3</v>
      </c>
      <c r="E1785">
        <v>1</v>
      </c>
      <c r="F1785">
        <v>0</v>
      </c>
      <c r="G1785" t="s">
        <v>14</v>
      </c>
      <c r="H1785" t="s">
        <v>21</v>
      </c>
      <c r="I1785" t="s">
        <v>16</v>
      </c>
      <c r="J1785" s="2">
        <f>Table1_1[[#This Row],[Sales]]-Table1_1[[#This Row],[Sales]]*Table1_1[[#This Row],[Discount]]</f>
        <v>3234.3</v>
      </c>
      <c r="K1785" s="1">
        <v>45127</v>
      </c>
      <c r="L1785" s="11">
        <v>45133</v>
      </c>
      <c r="M1785">
        <f>DATEDIF(Table1_1[[#This Row],[Order Date]],Table1_1[[#This Row],[Ship Date]],"D")</f>
        <v>6</v>
      </c>
    </row>
    <row r="1786" spans="1:13" x14ac:dyDescent="0.35">
      <c r="A1786" t="s">
        <v>2202</v>
      </c>
      <c r="B1786" t="s">
        <v>407</v>
      </c>
      <c r="C1786" t="s">
        <v>384</v>
      </c>
      <c r="D1786" s="2">
        <v>1605.33</v>
      </c>
      <c r="E1786">
        <v>9</v>
      </c>
      <c r="F1786">
        <v>0.3</v>
      </c>
      <c r="G1786" t="s">
        <v>19</v>
      </c>
      <c r="H1786" t="s">
        <v>21</v>
      </c>
      <c r="I1786" t="s">
        <v>16</v>
      </c>
      <c r="J1786" s="2">
        <f>Table1_1[[#This Row],[Sales]]-Table1_1[[#This Row],[Sales]]*Table1_1[[#This Row],[Discount]]</f>
        <v>1123.731</v>
      </c>
      <c r="K1786" s="1">
        <v>44960</v>
      </c>
      <c r="L1786" s="11">
        <v>44962</v>
      </c>
      <c r="M1786">
        <f>DATEDIF(Table1_1[[#This Row],[Order Date]],Table1_1[[#This Row],[Ship Date]],"D")</f>
        <v>2</v>
      </c>
    </row>
    <row r="1787" spans="1:13" x14ac:dyDescent="0.35">
      <c r="A1787" t="s">
        <v>2203</v>
      </c>
      <c r="B1787" t="s">
        <v>124</v>
      </c>
      <c r="C1787" t="s">
        <v>102</v>
      </c>
      <c r="D1787" s="2">
        <v>2041.21</v>
      </c>
      <c r="E1787">
        <v>6</v>
      </c>
      <c r="F1787">
        <v>0.2</v>
      </c>
      <c r="G1787" t="s">
        <v>14</v>
      </c>
      <c r="H1787" t="s">
        <v>15</v>
      </c>
      <c r="I1787" t="s">
        <v>20</v>
      </c>
      <c r="J1787" s="2">
        <f>Table1_1[[#This Row],[Sales]]-Table1_1[[#This Row],[Sales]]*Table1_1[[#This Row],[Discount]]</f>
        <v>1632.9680000000001</v>
      </c>
      <c r="K1787" s="1">
        <v>45613</v>
      </c>
      <c r="L1787" s="11">
        <v>45618</v>
      </c>
      <c r="M1787">
        <f>DATEDIF(Table1_1[[#This Row],[Order Date]],Table1_1[[#This Row],[Ship Date]],"D")</f>
        <v>5</v>
      </c>
    </row>
    <row r="1788" spans="1:13" x14ac:dyDescent="0.35">
      <c r="A1788" t="s">
        <v>2204</v>
      </c>
      <c r="B1788" t="s">
        <v>561</v>
      </c>
      <c r="C1788" t="s">
        <v>178</v>
      </c>
      <c r="D1788" s="2">
        <v>1306.1400000000001</v>
      </c>
      <c r="E1788">
        <v>10</v>
      </c>
      <c r="F1788">
        <v>0.3</v>
      </c>
      <c r="G1788" t="s">
        <v>14</v>
      </c>
      <c r="H1788" t="s">
        <v>15</v>
      </c>
      <c r="I1788" t="s">
        <v>20</v>
      </c>
      <c r="J1788" s="2">
        <f>Table1_1[[#This Row],[Sales]]-Table1_1[[#This Row],[Sales]]*Table1_1[[#This Row],[Discount]]</f>
        <v>914.298</v>
      </c>
      <c r="K1788" s="1">
        <v>45740</v>
      </c>
      <c r="L1788" s="11">
        <v>45746</v>
      </c>
      <c r="M1788">
        <f>DATEDIF(Table1_1[[#This Row],[Order Date]],Table1_1[[#This Row],[Ship Date]],"D")</f>
        <v>6</v>
      </c>
    </row>
    <row r="1789" spans="1:13" x14ac:dyDescent="0.35">
      <c r="A1789" t="s">
        <v>2205</v>
      </c>
      <c r="B1789" t="s">
        <v>438</v>
      </c>
      <c r="C1789" t="s">
        <v>448</v>
      </c>
      <c r="D1789" s="2">
        <v>4520.07</v>
      </c>
      <c r="E1789">
        <v>8</v>
      </c>
      <c r="F1789">
        <v>0.3</v>
      </c>
      <c r="G1789" t="s">
        <v>39</v>
      </c>
      <c r="H1789" t="s">
        <v>15</v>
      </c>
      <c r="I1789" t="s">
        <v>20</v>
      </c>
      <c r="J1789" s="2">
        <f>Table1_1[[#This Row],[Sales]]-Table1_1[[#This Row],[Sales]]*Table1_1[[#This Row],[Discount]]</f>
        <v>3164.049</v>
      </c>
      <c r="K1789" s="1">
        <v>45774</v>
      </c>
      <c r="L1789" s="11">
        <v>45780</v>
      </c>
      <c r="M1789">
        <f>DATEDIF(Table1_1[[#This Row],[Order Date]],Table1_1[[#This Row],[Ship Date]],"D")</f>
        <v>6</v>
      </c>
    </row>
    <row r="1790" spans="1:13" x14ac:dyDescent="0.35">
      <c r="A1790" t="s">
        <v>2206</v>
      </c>
      <c r="B1790" t="s">
        <v>184</v>
      </c>
      <c r="C1790" t="s">
        <v>234</v>
      </c>
      <c r="D1790" s="2">
        <v>808.23</v>
      </c>
      <c r="E1790">
        <v>4</v>
      </c>
      <c r="F1790">
        <v>0.3</v>
      </c>
      <c r="G1790" t="s">
        <v>39</v>
      </c>
      <c r="H1790" t="s">
        <v>21</v>
      </c>
      <c r="I1790" t="s">
        <v>20</v>
      </c>
      <c r="J1790" s="2">
        <f>Table1_1[[#This Row],[Sales]]-Table1_1[[#This Row],[Sales]]*Table1_1[[#This Row],[Discount]]</f>
        <v>565.76099999999997</v>
      </c>
      <c r="K1790" s="1">
        <v>45242</v>
      </c>
      <c r="L1790" s="11">
        <v>45243</v>
      </c>
      <c r="M1790">
        <f>DATEDIF(Table1_1[[#This Row],[Order Date]],Table1_1[[#This Row],[Ship Date]],"D")</f>
        <v>1</v>
      </c>
    </row>
    <row r="1791" spans="1:13" x14ac:dyDescent="0.35">
      <c r="A1791" t="s">
        <v>2207</v>
      </c>
      <c r="B1791" t="s">
        <v>38</v>
      </c>
      <c r="C1791" t="s">
        <v>113</v>
      </c>
      <c r="D1791" s="2">
        <v>3621.12</v>
      </c>
      <c r="E1791">
        <v>2</v>
      </c>
      <c r="F1791">
        <v>0.2</v>
      </c>
      <c r="G1791" t="s">
        <v>39</v>
      </c>
      <c r="H1791" t="s">
        <v>15</v>
      </c>
      <c r="I1791" t="s">
        <v>43</v>
      </c>
      <c r="J1791" s="2">
        <f>Table1_1[[#This Row],[Sales]]-Table1_1[[#This Row],[Sales]]*Table1_1[[#This Row],[Discount]]</f>
        <v>2896.8959999999997</v>
      </c>
      <c r="K1791" s="1">
        <v>45690</v>
      </c>
      <c r="L1791" s="11">
        <v>45696</v>
      </c>
      <c r="M1791">
        <f>DATEDIF(Table1_1[[#This Row],[Order Date]],Table1_1[[#This Row],[Ship Date]],"D")</f>
        <v>6</v>
      </c>
    </row>
    <row r="1792" spans="1:13" x14ac:dyDescent="0.35">
      <c r="A1792" t="s">
        <v>2208</v>
      </c>
      <c r="B1792" t="s">
        <v>718</v>
      </c>
      <c r="C1792" t="s">
        <v>285</v>
      </c>
      <c r="D1792" s="2">
        <v>2662.18</v>
      </c>
      <c r="E1792">
        <v>10</v>
      </c>
      <c r="F1792">
        <v>0.1</v>
      </c>
      <c r="G1792" t="s">
        <v>19</v>
      </c>
      <c r="H1792" t="s">
        <v>21</v>
      </c>
      <c r="I1792" t="s">
        <v>16</v>
      </c>
      <c r="J1792" s="2">
        <f>Table1_1[[#This Row],[Sales]]-Table1_1[[#This Row],[Sales]]*Table1_1[[#This Row],[Discount]]</f>
        <v>2395.962</v>
      </c>
      <c r="K1792" s="1">
        <v>45018</v>
      </c>
      <c r="L1792" s="11">
        <v>45022</v>
      </c>
      <c r="M1792">
        <f>DATEDIF(Table1_1[[#This Row],[Order Date]],Table1_1[[#This Row],[Ship Date]],"D")</f>
        <v>4</v>
      </c>
    </row>
    <row r="1793" spans="1:13" x14ac:dyDescent="0.35">
      <c r="A1793" t="s">
        <v>2209</v>
      </c>
      <c r="B1793" t="s">
        <v>130</v>
      </c>
      <c r="C1793" t="s">
        <v>34</v>
      </c>
      <c r="D1793" s="2">
        <v>3422.9050000000002</v>
      </c>
      <c r="E1793">
        <v>7</v>
      </c>
      <c r="F1793">
        <v>0.3</v>
      </c>
      <c r="G1793" t="s">
        <v>14</v>
      </c>
      <c r="H1793" t="s">
        <v>21</v>
      </c>
      <c r="I1793" t="s">
        <v>43</v>
      </c>
      <c r="J1793" s="2">
        <f>Table1_1[[#This Row],[Sales]]-Table1_1[[#This Row],[Sales]]*Table1_1[[#This Row],[Discount]]</f>
        <v>2396.0335000000005</v>
      </c>
      <c r="K1793" s="1">
        <v>45274</v>
      </c>
      <c r="L1793" s="11">
        <v>45279</v>
      </c>
      <c r="M1793">
        <f>DATEDIF(Table1_1[[#This Row],[Order Date]],Table1_1[[#This Row],[Ship Date]],"D")</f>
        <v>5</v>
      </c>
    </row>
    <row r="1794" spans="1:13" x14ac:dyDescent="0.35">
      <c r="A1794" t="s">
        <v>2210</v>
      </c>
      <c r="B1794" t="s">
        <v>322</v>
      </c>
      <c r="C1794" t="s">
        <v>34</v>
      </c>
      <c r="D1794" s="2">
        <v>3891.54</v>
      </c>
      <c r="E1794">
        <v>7</v>
      </c>
      <c r="F1794">
        <v>0.2</v>
      </c>
      <c r="G1794" t="s">
        <v>14</v>
      </c>
      <c r="H1794" t="s">
        <v>15</v>
      </c>
      <c r="I1794" t="s">
        <v>20</v>
      </c>
      <c r="J1794" s="2">
        <f>Table1_1[[#This Row],[Sales]]-Table1_1[[#This Row],[Sales]]*Table1_1[[#This Row],[Discount]]</f>
        <v>3113.232</v>
      </c>
      <c r="K1794" s="1">
        <v>45131</v>
      </c>
      <c r="L1794" s="11">
        <v>45138</v>
      </c>
      <c r="M1794">
        <f>DATEDIF(Table1_1[[#This Row],[Order Date]],Table1_1[[#This Row],[Ship Date]],"D")</f>
        <v>7</v>
      </c>
    </row>
    <row r="1795" spans="1:13" x14ac:dyDescent="0.35">
      <c r="A1795" t="s">
        <v>2211</v>
      </c>
      <c r="B1795" t="s">
        <v>770</v>
      </c>
      <c r="C1795" t="s">
        <v>77</v>
      </c>
      <c r="D1795" s="2">
        <v>342.63</v>
      </c>
      <c r="E1795">
        <v>3</v>
      </c>
      <c r="F1795">
        <v>0.1</v>
      </c>
      <c r="G1795" t="s">
        <v>14</v>
      </c>
      <c r="H1795" t="s">
        <v>15</v>
      </c>
      <c r="I1795" t="s">
        <v>16</v>
      </c>
      <c r="J1795" s="2">
        <f>Table1_1[[#This Row],[Sales]]-Table1_1[[#This Row],[Sales]]*Table1_1[[#This Row],[Discount]]</f>
        <v>308.36700000000002</v>
      </c>
      <c r="K1795" s="1">
        <v>45820</v>
      </c>
      <c r="L1795" s="11">
        <v>45823</v>
      </c>
      <c r="M1795">
        <f>DATEDIF(Table1_1[[#This Row],[Order Date]],Table1_1[[#This Row],[Ship Date]],"D")</f>
        <v>3</v>
      </c>
    </row>
    <row r="1796" spans="1:13" x14ac:dyDescent="0.35">
      <c r="A1796" t="s">
        <v>2212</v>
      </c>
      <c r="B1796" t="s">
        <v>480</v>
      </c>
      <c r="C1796" t="s">
        <v>102</v>
      </c>
      <c r="D1796" s="2">
        <v>3112.71</v>
      </c>
      <c r="E1796">
        <v>3</v>
      </c>
      <c r="F1796">
        <v>0.2</v>
      </c>
      <c r="G1796" t="s">
        <v>14</v>
      </c>
      <c r="H1796" t="s">
        <v>15</v>
      </c>
      <c r="I1796" t="s">
        <v>16</v>
      </c>
      <c r="J1796" s="2">
        <f>Table1_1[[#This Row],[Sales]]-Table1_1[[#This Row],[Sales]]*Table1_1[[#This Row],[Discount]]</f>
        <v>2490.1680000000001</v>
      </c>
      <c r="K1796" s="1">
        <v>45154</v>
      </c>
      <c r="L1796" s="11">
        <v>45160</v>
      </c>
      <c r="M1796">
        <f>DATEDIF(Table1_1[[#This Row],[Order Date]],Table1_1[[#This Row],[Ship Date]],"D")</f>
        <v>6</v>
      </c>
    </row>
    <row r="1797" spans="1:13" x14ac:dyDescent="0.35">
      <c r="A1797" t="s">
        <v>2213</v>
      </c>
      <c r="B1797" t="s">
        <v>284</v>
      </c>
      <c r="C1797" t="s">
        <v>624</v>
      </c>
      <c r="D1797" s="2">
        <v>2885.08</v>
      </c>
      <c r="E1797">
        <v>10</v>
      </c>
      <c r="F1797">
        <v>0.3</v>
      </c>
      <c r="G1797" t="s">
        <v>14</v>
      </c>
      <c r="H1797" t="s">
        <v>21</v>
      </c>
      <c r="I1797" t="s">
        <v>16</v>
      </c>
      <c r="J1797" s="2">
        <f>Table1_1[[#This Row],[Sales]]-Table1_1[[#This Row],[Sales]]*Table1_1[[#This Row],[Discount]]</f>
        <v>2019.556</v>
      </c>
      <c r="K1797" s="1">
        <v>45089</v>
      </c>
      <c r="L1797" s="11">
        <v>45091</v>
      </c>
      <c r="M1797">
        <f>DATEDIF(Table1_1[[#This Row],[Order Date]],Table1_1[[#This Row],[Ship Date]],"D")</f>
        <v>2</v>
      </c>
    </row>
    <row r="1798" spans="1:13" x14ac:dyDescent="0.35">
      <c r="A1798" t="s">
        <v>2214</v>
      </c>
      <c r="B1798" t="s">
        <v>54</v>
      </c>
      <c r="C1798" t="s">
        <v>108</v>
      </c>
      <c r="D1798" s="2">
        <v>1361.65</v>
      </c>
      <c r="E1798">
        <v>4</v>
      </c>
      <c r="F1798">
        <v>0.2</v>
      </c>
      <c r="G1798" t="s">
        <v>19</v>
      </c>
      <c r="H1798" t="s">
        <v>15</v>
      </c>
      <c r="I1798" t="s">
        <v>20</v>
      </c>
      <c r="J1798" s="2">
        <f>Table1_1[[#This Row],[Sales]]-Table1_1[[#This Row],[Sales]]*Table1_1[[#This Row],[Discount]]</f>
        <v>1089.3200000000002</v>
      </c>
      <c r="K1798" s="1">
        <v>45528</v>
      </c>
      <c r="L1798" s="11">
        <v>45529</v>
      </c>
      <c r="M1798">
        <f>DATEDIF(Table1_1[[#This Row],[Order Date]],Table1_1[[#This Row],[Ship Date]],"D")</f>
        <v>1</v>
      </c>
    </row>
    <row r="1799" spans="1:13" x14ac:dyDescent="0.35">
      <c r="A1799" t="s">
        <v>2215</v>
      </c>
      <c r="B1799" t="s">
        <v>674</v>
      </c>
      <c r="C1799" t="s">
        <v>185</v>
      </c>
      <c r="D1799" s="2">
        <v>4011.71</v>
      </c>
      <c r="E1799">
        <v>2</v>
      </c>
      <c r="F1799">
        <v>0.3</v>
      </c>
      <c r="G1799" t="s">
        <v>19</v>
      </c>
      <c r="H1799" t="s">
        <v>21</v>
      </c>
      <c r="I1799" t="s">
        <v>43</v>
      </c>
      <c r="J1799" s="2">
        <f>Table1_1[[#This Row],[Sales]]-Table1_1[[#This Row],[Sales]]*Table1_1[[#This Row],[Discount]]</f>
        <v>2808.1970000000001</v>
      </c>
      <c r="K1799" s="1">
        <v>45321</v>
      </c>
      <c r="L1799" s="11">
        <v>45322</v>
      </c>
      <c r="M1799">
        <f>DATEDIF(Table1_1[[#This Row],[Order Date]],Table1_1[[#This Row],[Ship Date]],"D")</f>
        <v>1</v>
      </c>
    </row>
    <row r="1800" spans="1:13" x14ac:dyDescent="0.35">
      <c r="A1800" t="s">
        <v>2216</v>
      </c>
      <c r="B1800" t="s">
        <v>657</v>
      </c>
      <c r="C1800" t="s">
        <v>113</v>
      </c>
      <c r="D1800" s="2">
        <v>1591.42</v>
      </c>
      <c r="E1800">
        <v>9</v>
      </c>
      <c r="F1800">
        <v>0.1</v>
      </c>
      <c r="G1800" t="s">
        <v>14</v>
      </c>
      <c r="H1800" t="s">
        <v>21</v>
      </c>
      <c r="I1800" t="s">
        <v>16</v>
      </c>
      <c r="J1800" s="2">
        <f>Table1_1[[#This Row],[Sales]]-Table1_1[[#This Row],[Sales]]*Table1_1[[#This Row],[Discount]]</f>
        <v>1432.278</v>
      </c>
      <c r="K1800" s="1">
        <v>45152</v>
      </c>
      <c r="L1800" s="11">
        <v>45156</v>
      </c>
      <c r="M1800">
        <f>DATEDIF(Table1_1[[#This Row],[Order Date]],Table1_1[[#This Row],[Ship Date]],"D")</f>
        <v>4</v>
      </c>
    </row>
    <row r="1801" spans="1:13" x14ac:dyDescent="0.35">
      <c r="A1801" t="s">
        <v>2217</v>
      </c>
      <c r="B1801" t="s">
        <v>56</v>
      </c>
      <c r="C1801" t="s">
        <v>26</v>
      </c>
      <c r="D1801" s="2">
        <v>2969.33</v>
      </c>
      <c r="E1801">
        <v>4</v>
      </c>
      <c r="F1801">
        <v>0.1</v>
      </c>
      <c r="G1801" t="s">
        <v>19</v>
      </c>
      <c r="H1801" t="s">
        <v>15</v>
      </c>
      <c r="I1801" t="s">
        <v>20</v>
      </c>
      <c r="J1801" s="2">
        <f>Table1_1[[#This Row],[Sales]]-Table1_1[[#This Row],[Sales]]*Table1_1[[#This Row],[Discount]]</f>
        <v>2672.3969999999999</v>
      </c>
      <c r="K1801" s="1">
        <v>45138</v>
      </c>
      <c r="L1801" s="11">
        <v>45141</v>
      </c>
      <c r="M1801">
        <f>DATEDIF(Table1_1[[#This Row],[Order Date]],Table1_1[[#This Row],[Ship Date]],"D")</f>
        <v>3</v>
      </c>
    </row>
    <row r="1802" spans="1:13" x14ac:dyDescent="0.35">
      <c r="A1802" t="s">
        <v>2218</v>
      </c>
      <c r="B1802" t="s">
        <v>184</v>
      </c>
      <c r="C1802" t="s">
        <v>99</v>
      </c>
      <c r="D1802" s="2">
        <v>4439.6499999999996</v>
      </c>
      <c r="E1802">
        <v>5</v>
      </c>
      <c r="F1802">
        <v>0.2</v>
      </c>
      <c r="G1802" t="s">
        <v>14</v>
      </c>
      <c r="H1802" t="s">
        <v>21</v>
      </c>
      <c r="I1802" t="s">
        <v>43</v>
      </c>
      <c r="J1802" s="2">
        <f>Table1_1[[#This Row],[Sales]]-Table1_1[[#This Row],[Sales]]*Table1_1[[#This Row],[Discount]]</f>
        <v>3551.72</v>
      </c>
      <c r="K1802" s="1">
        <v>45206</v>
      </c>
      <c r="L1802" s="11">
        <v>45209</v>
      </c>
      <c r="M1802">
        <f>DATEDIF(Table1_1[[#This Row],[Order Date]],Table1_1[[#This Row],[Ship Date]],"D")</f>
        <v>3</v>
      </c>
    </row>
    <row r="1803" spans="1:13" x14ac:dyDescent="0.35">
      <c r="A1803" t="s">
        <v>2219</v>
      </c>
      <c r="B1803" t="s">
        <v>338</v>
      </c>
      <c r="C1803" t="s">
        <v>220</v>
      </c>
      <c r="D1803" s="2">
        <v>4120.28</v>
      </c>
      <c r="E1803">
        <v>5</v>
      </c>
      <c r="F1803">
        <v>0.1</v>
      </c>
      <c r="G1803" t="s">
        <v>14</v>
      </c>
      <c r="H1803" t="s">
        <v>21</v>
      </c>
      <c r="I1803" t="s">
        <v>20</v>
      </c>
      <c r="J1803" s="2">
        <f>Table1_1[[#This Row],[Sales]]-Table1_1[[#This Row],[Sales]]*Table1_1[[#This Row],[Discount]]</f>
        <v>3708.2519999999995</v>
      </c>
      <c r="K1803" s="1">
        <v>45081</v>
      </c>
      <c r="L1803" s="11">
        <v>45084</v>
      </c>
      <c r="M1803">
        <f>DATEDIF(Table1_1[[#This Row],[Order Date]],Table1_1[[#This Row],[Ship Date]],"D")</f>
        <v>3</v>
      </c>
    </row>
    <row r="1804" spans="1:13" x14ac:dyDescent="0.35">
      <c r="A1804" t="s">
        <v>2220</v>
      </c>
      <c r="B1804" t="s">
        <v>171</v>
      </c>
      <c r="C1804" t="s">
        <v>458</v>
      </c>
      <c r="D1804" s="2">
        <v>4290.25</v>
      </c>
      <c r="E1804">
        <v>3</v>
      </c>
      <c r="F1804">
        <v>0.2</v>
      </c>
      <c r="G1804" t="s">
        <v>39</v>
      </c>
      <c r="H1804" t="s">
        <v>21</v>
      </c>
      <c r="I1804" t="s">
        <v>16</v>
      </c>
      <c r="J1804" s="2">
        <f>Table1_1[[#This Row],[Sales]]-Table1_1[[#This Row],[Sales]]*Table1_1[[#This Row],[Discount]]</f>
        <v>3432.2</v>
      </c>
      <c r="K1804" s="1">
        <v>45033</v>
      </c>
      <c r="L1804" s="11">
        <v>45039</v>
      </c>
      <c r="M1804">
        <f>DATEDIF(Table1_1[[#This Row],[Order Date]],Table1_1[[#This Row],[Ship Date]],"D")</f>
        <v>6</v>
      </c>
    </row>
    <row r="1805" spans="1:13" x14ac:dyDescent="0.35">
      <c r="A1805" t="s">
        <v>2221</v>
      </c>
      <c r="B1805" t="s">
        <v>550</v>
      </c>
      <c r="C1805" t="s">
        <v>13</v>
      </c>
      <c r="D1805" s="2">
        <v>3429.61</v>
      </c>
      <c r="E1805">
        <v>8</v>
      </c>
      <c r="F1805">
        <v>0.3</v>
      </c>
      <c r="G1805" t="s">
        <v>14</v>
      </c>
      <c r="H1805" t="s">
        <v>15</v>
      </c>
      <c r="I1805" t="s">
        <v>43</v>
      </c>
      <c r="J1805" s="2">
        <f>Table1_1[[#This Row],[Sales]]-Table1_1[[#This Row],[Sales]]*Table1_1[[#This Row],[Discount]]</f>
        <v>2400.7269999999999</v>
      </c>
      <c r="K1805" s="1">
        <v>45648</v>
      </c>
      <c r="L1805" s="11">
        <v>45651</v>
      </c>
      <c r="M1805">
        <f>DATEDIF(Table1_1[[#This Row],[Order Date]],Table1_1[[#This Row],[Ship Date]],"D")</f>
        <v>3</v>
      </c>
    </row>
    <row r="1806" spans="1:13" x14ac:dyDescent="0.35">
      <c r="A1806" t="s">
        <v>2222</v>
      </c>
      <c r="B1806" t="s">
        <v>299</v>
      </c>
      <c r="C1806" t="s">
        <v>60</v>
      </c>
      <c r="D1806" s="2">
        <v>4277.25</v>
      </c>
      <c r="E1806">
        <v>10</v>
      </c>
      <c r="F1806">
        <v>0.1</v>
      </c>
      <c r="G1806" t="s">
        <v>39</v>
      </c>
      <c r="H1806" t="s">
        <v>15</v>
      </c>
      <c r="I1806" t="s">
        <v>16</v>
      </c>
      <c r="J1806" s="2">
        <f>Table1_1[[#This Row],[Sales]]-Table1_1[[#This Row],[Sales]]*Table1_1[[#This Row],[Discount]]</f>
        <v>3849.5250000000001</v>
      </c>
      <c r="K1806" s="1">
        <v>45494</v>
      </c>
      <c r="L1806" s="11">
        <v>45497</v>
      </c>
      <c r="M1806">
        <f>DATEDIF(Table1_1[[#This Row],[Order Date]],Table1_1[[#This Row],[Ship Date]],"D")</f>
        <v>3</v>
      </c>
    </row>
    <row r="1807" spans="1:13" x14ac:dyDescent="0.35">
      <c r="A1807" t="s">
        <v>2223</v>
      </c>
      <c r="B1807" t="s">
        <v>72</v>
      </c>
      <c r="C1807" t="s">
        <v>285</v>
      </c>
      <c r="D1807" s="2">
        <v>4676.59</v>
      </c>
      <c r="E1807">
        <v>3</v>
      </c>
      <c r="F1807">
        <v>0</v>
      </c>
      <c r="G1807" t="s">
        <v>39</v>
      </c>
      <c r="H1807" t="s">
        <v>15</v>
      </c>
      <c r="I1807" t="s">
        <v>16</v>
      </c>
      <c r="J1807" s="2">
        <f>Table1_1[[#This Row],[Sales]]-Table1_1[[#This Row],[Sales]]*Table1_1[[#This Row],[Discount]]</f>
        <v>4676.59</v>
      </c>
      <c r="K1807" s="1">
        <v>45339</v>
      </c>
      <c r="L1807" s="11">
        <v>45340</v>
      </c>
      <c r="M1807">
        <f>DATEDIF(Table1_1[[#This Row],[Order Date]],Table1_1[[#This Row],[Ship Date]],"D")</f>
        <v>1</v>
      </c>
    </row>
    <row r="1808" spans="1:13" x14ac:dyDescent="0.35">
      <c r="A1808" t="s">
        <v>2224</v>
      </c>
      <c r="B1808" t="s">
        <v>657</v>
      </c>
      <c r="C1808" t="s">
        <v>262</v>
      </c>
      <c r="D1808" s="2">
        <v>1254.94</v>
      </c>
      <c r="E1808">
        <v>9</v>
      </c>
      <c r="F1808">
        <v>0.3</v>
      </c>
      <c r="G1808" t="s">
        <v>39</v>
      </c>
      <c r="H1808" t="s">
        <v>21</v>
      </c>
      <c r="I1808" t="s">
        <v>20</v>
      </c>
      <c r="J1808" s="2">
        <f>Table1_1[[#This Row],[Sales]]-Table1_1[[#This Row],[Sales]]*Table1_1[[#This Row],[Discount]]</f>
        <v>878.45800000000008</v>
      </c>
      <c r="K1808" s="1">
        <v>45595</v>
      </c>
      <c r="L1808" s="11">
        <v>45601</v>
      </c>
      <c r="M1808">
        <f>DATEDIF(Table1_1[[#This Row],[Order Date]],Table1_1[[#This Row],[Ship Date]],"D")</f>
        <v>6</v>
      </c>
    </row>
    <row r="1809" spans="1:13" x14ac:dyDescent="0.35">
      <c r="A1809" t="s">
        <v>2225</v>
      </c>
      <c r="B1809" t="s">
        <v>561</v>
      </c>
      <c r="C1809" t="s">
        <v>135</v>
      </c>
      <c r="D1809" s="2">
        <v>4160.95</v>
      </c>
      <c r="E1809">
        <v>6</v>
      </c>
      <c r="F1809">
        <v>0</v>
      </c>
      <c r="G1809" t="s">
        <v>14</v>
      </c>
      <c r="H1809" t="s">
        <v>15</v>
      </c>
      <c r="I1809" t="s">
        <v>43</v>
      </c>
      <c r="J1809" s="2">
        <f>Table1_1[[#This Row],[Sales]]-Table1_1[[#This Row],[Sales]]*Table1_1[[#This Row],[Discount]]</f>
        <v>4160.95</v>
      </c>
      <c r="K1809" s="1">
        <v>45597</v>
      </c>
      <c r="L1809" s="11">
        <v>45601</v>
      </c>
      <c r="M1809">
        <f>DATEDIF(Table1_1[[#This Row],[Order Date]],Table1_1[[#This Row],[Ship Date]],"D")</f>
        <v>4</v>
      </c>
    </row>
    <row r="1810" spans="1:13" x14ac:dyDescent="0.35">
      <c r="A1810" t="s">
        <v>2226</v>
      </c>
      <c r="B1810" t="s">
        <v>570</v>
      </c>
      <c r="C1810" t="s">
        <v>175</v>
      </c>
      <c r="D1810" s="2">
        <v>2399.3000000000002</v>
      </c>
      <c r="E1810">
        <v>10</v>
      </c>
      <c r="F1810">
        <v>0.2</v>
      </c>
      <c r="G1810" t="s">
        <v>14</v>
      </c>
      <c r="H1810" t="s">
        <v>21</v>
      </c>
      <c r="I1810" t="s">
        <v>20</v>
      </c>
      <c r="J1810" s="2">
        <f>Table1_1[[#This Row],[Sales]]-Table1_1[[#This Row],[Sales]]*Table1_1[[#This Row],[Discount]]</f>
        <v>1919.44</v>
      </c>
      <c r="K1810" s="1">
        <v>45437</v>
      </c>
      <c r="L1810" s="11">
        <v>45440</v>
      </c>
      <c r="M1810">
        <f>DATEDIF(Table1_1[[#This Row],[Order Date]],Table1_1[[#This Row],[Ship Date]],"D")</f>
        <v>3</v>
      </c>
    </row>
    <row r="1811" spans="1:13" x14ac:dyDescent="0.35">
      <c r="A1811" t="s">
        <v>2227</v>
      </c>
      <c r="B1811" t="s">
        <v>942</v>
      </c>
      <c r="C1811" t="s">
        <v>329</v>
      </c>
      <c r="D1811" s="2">
        <v>3013.85</v>
      </c>
      <c r="E1811">
        <v>10</v>
      </c>
      <c r="F1811">
        <v>0.1</v>
      </c>
      <c r="G1811" t="s">
        <v>14</v>
      </c>
      <c r="H1811" t="s">
        <v>15</v>
      </c>
      <c r="I1811" t="s">
        <v>16</v>
      </c>
      <c r="J1811" s="2">
        <f>Table1_1[[#This Row],[Sales]]-Table1_1[[#This Row],[Sales]]*Table1_1[[#This Row],[Discount]]</f>
        <v>2712.4650000000001</v>
      </c>
      <c r="K1811" s="1">
        <v>45728</v>
      </c>
      <c r="L1811" s="11">
        <v>45732</v>
      </c>
      <c r="M1811">
        <f>DATEDIF(Table1_1[[#This Row],[Order Date]],Table1_1[[#This Row],[Ship Date]],"D")</f>
        <v>4</v>
      </c>
    </row>
    <row r="1812" spans="1:13" x14ac:dyDescent="0.35">
      <c r="A1812" t="s">
        <v>2228</v>
      </c>
      <c r="B1812" t="s">
        <v>599</v>
      </c>
      <c r="C1812" t="s">
        <v>166</v>
      </c>
      <c r="D1812" s="2">
        <v>4814.83</v>
      </c>
      <c r="E1812">
        <v>1</v>
      </c>
      <c r="F1812">
        <v>0.3</v>
      </c>
      <c r="G1812" t="s">
        <v>14</v>
      </c>
      <c r="H1812" t="s">
        <v>15</v>
      </c>
      <c r="I1812" t="s">
        <v>20</v>
      </c>
      <c r="J1812" s="2">
        <f>Table1_1[[#This Row],[Sales]]-Table1_1[[#This Row],[Sales]]*Table1_1[[#This Row],[Discount]]</f>
        <v>3370.3810000000003</v>
      </c>
      <c r="K1812" s="1">
        <v>45720</v>
      </c>
      <c r="L1812" s="11">
        <v>45722</v>
      </c>
      <c r="M1812">
        <f>DATEDIF(Table1_1[[#This Row],[Order Date]],Table1_1[[#This Row],[Ship Date]],"D")</f>
        <v>2</v>
      </c>
    </row>
    <row r="1813" spans="1:13" x14ac:dyDescent="0.35">
      <c r="A1813" t="s">
        <v>2229</v>
      </c>
      <c r="B1813" t="s">
        <v>422</v>
      </c>
      <c r="C1813" t="s">
        <v>696</v>
      </c>
      <c r="D1813" s="2">
        <v>1928.83</v>
      </c>
      <c r="E1813">
        <v>2</v>
      </c>
      <c r="F1813">
        <v>0.3</v>
      </c>
      <c r="G1813" t="s">
        <v>14</v>
      </c>
      <c r="H1813" t="s">
        <v>21</v>
      </c>
      <c r="I1813" t="s">
        <v>20</v>
      </c>
      <c r="J1813" s="2">
        <f>Table1_1[[#This Row],[Sales]]-Table1_1[[#This Row],[Sales]]*Table1_1[[#This Row],[Discount]]</f>
        <v>1350.181</v>
      </c>
      <c r="K1813" s="1">
        <v>45571</v>
      </c>
      <c r="L1813" s="11">
        <v>45573</v>
      </c>
      <c r="M1813">
        <f>DATEDIF(Table1_1[[#This Row],[Order Date]],Table1_1[[#This Row],[Ship Date]],"D")</f>
        <v>2</v>
      </c>
    </row>
    <row r="1814" spans="1:13" x14ac:dyDescent="0.35">
      <c r="A1814" t="s">
        <v>2230</v>
      </c>
      <c r="B1814" t="s">
        <v>1057</v>
      </c>
      <c r="C1814" t="s">
        <v>376</v>
      </c>
      <c r="D1814" s="2">
        <v>2084.9299999999998</v>
      </c>
      <c r="E1814">
        <v>5</v>
      </c>
      <c r="F1814">
        <v>0.1</v>
      </c>
      <c r="G1814" t="s">
        <v>19</v>
      </c>
      <c r="H1814" t="s">
        <v>21</v>
      </c>
      <c r="I1814" t="s">
        <v>43</v>
      </c>
      <c r="J1814" s="2">
        <f>Table1_1[[#This Row],[Sales]]-Table1_1[[#This Row],[Sales]]*Table1_1[[#This Row],[Discount]]</f>
        <v>1876.4369999999999</v>
      </c>
      <c r="K1814" s="1">
        <v>44982</v>
      </c>
      <c r="L1814" s="11">
        <v>44987</v>
      </c>
      <c r="M1814">
        <f>DATEDIF(Table1_1[[#This Row],[Order Date]],Table1_1[[#This Row],[Ship Date]],"D")</f>
        <v>5</v>
      </c>
    </row>
    <row r="1815" spans="1:13" x14ac:dyDescent="0.35">
      <c r="A1815" t="s">
        <v>2231</v>
      </c>
      <c r="B1815" t="s">
        <v>913</v>
      </c>
      <c r="C1815" t="s">
        <v>207</v>
      </c>
      <c r="D1815" s="2">
        <v>1293.97</v>
      </c>
      <c r="E1815">
        <v>7</v>
      </c>
      <c r="F1815">
        <v>0.2</v>
      </c>
      <c r="G1815" t="s">
        <v>14</v>
      </c>
      <c r="H1815" t="s">
        <v>21</v>
      </c>
      <c r="I1815" t="s">
        <v>20</v>
      </c>
      <c r="J1815" s="2">
        <f>Table1_1[[#This Row],[Sales]]-Table1_1[[#This Row],[Sales]]*Table1_1[[#This Row],[Discount]]</f>
        <v>1035.1759999999999</v>
      </c>
      <c r="K1815" s="1">
        <v>45773</v>
      </c>
      <c r="L1815" s="11">
        <v>45778</v>
      </c>
      <c r="M1815">
        <f>DATEDIF(Table1_1[[#This Row],[Order Date]],Table1_1[[#This Row],[Ship Date]],"D")</f>
        <v>5</v>
      </c>
    </row>
    <row r="1816" spans="1:13" x14ac:dyDescent="0.35">
      <c r="A1816" t="s">
        <v>2232</v>
      </c>
      <c r="B1816" t="s">
        <v>891</v>
      </c>
      <c r="C1816" t="s">
        <v>73</v>
      </c>
      <c r="D1816" s="2">
        <v>153.16</v>
      </c>
      <c r="E1816">
        <v>10</v>
      </c>
      <c r="F1816">
        <v>0.1</v>
      </c>
      <c r="G1816" t="s">
        <v>14</v>
      </c>
      <c r="H1816" t="s">
        <v>15</v>
      </c>
      <c r="I1816" t="s">
        <v>43</v>
      </c>
      <c r="J1816" s="2">
        <f>Table1_1[[#This Row],[Sales]]-Table1_1[[#This Row],[Sales]]*Table1_1[[#This Row],[Discount]]</f>
        <v>137.84399999999999</v>
      </c>
      <c r="K1816" s="1">
        <v>45813</v>
      </c>
      <c r="L1816" s="11">
        <v>45814</v>
      </c>
      <c r="M1816">
        <f>DATEDIF(Table1_1[[#This Row],[Order Date]],Table1_1[[#This Row],[Ship Date]],"D")</f>
        <v>1</v>
      </c>
    </row>
    <row r="1817" spans="1:13" x14ac:dyDescent="0.35">
      <c r="A1817" t="s">
        <v>2233</v>
      </c>
      <c r="B1817" t="s">
        <v>380</v>
      </c>
      <c r="C1817" t="s">
        <v>341</v>
      </c>
      <c r="D1817" s="2">
        <v>1513.95</v>
      </c>
      <c r="E1817">
        <v>1</v>
      </c>
      <c r="F1817">
        <v>0.2</v>
      </c>
      <c r="G1817" t="s">
        <v>39</v>
      </c>
      <c r="H1817" t="s">
        <v>21</v>
      </c>
      <c r="I1817" t="s">
        <v>43</v>
      </c>
      <c r="J1817" s="2">
        <f>Table1_1[[#This Row],[Sales]]-Table1_1[[#This Row],[Sales]]*Table1_1[[#This Row],[Discount]]</f>
        <v>1211.1600000000001</v>
      </c>
      <c r="K1817" s="1">
        <v>45007</v>
      </c>
      <c r="L1817" s="11">
        <v>45011</v>
      </c>
      <c r="M1817">
        <f>DATEDIF(Table1_1[[#This Row],[Order Date]],Table1_1[[#This Row],[Ship Date]],"D")</f>
        <v>4</v>
      </c>
    </row>
    <row r="1818" spans="1:13" x14ac:dyDescent="0.35">
      <c r="A1818" t="s">
        <v>2234</v>
      </c>
      <c r="B1818" t="s">
        <v>876</v>
      </c>
      <c r="C1818" t="s">
        <v>89</v>
      </c>
      <c r="D1818" s="2">
        <v>2760.43</v>
      </c>
      <c r="E1818">
        <v>7</v>
      </c>
      <c r="F1818">
        <v>0.2</v>
      </c>
      <c r="G1818" t="s">
        <v>14</v>
      </c>
      <c r="H1818" t="s">
        <v>15</v>
      </c>
      <c r="I1818" t="s">
        <v>43</v>
      </c>
      <c r="J1818" s="2">
        <f>Table1_1[[#This Row],[Sales]]-Table1_1[[#This Row],[Sales]]*Table1_1[[#This Row],[Discount]]</f>
        <v>2208.3440000000001</v>
      </c>
      <c r="K1818" s="1">
        <v>45194</v>
      </c>
      <c r="L1818" s="11">
        <v>45197</v>
      </c>
      <c r="M1818">
        <f>DATEDIF(Table1_1[[#This Row],[Order Date]],Table1_1[[#This Row],[Ship Date]],"D")</f>
        <v>3</v>
      </c>
    </row>
    <row r="1819" spans="1:13" x14ac:dyDescent="0.35">
      <c r="A1819" t="s">
        <v>2235</v>
      </c>
      <c r="B1819" t="s">
        <v>1593</v>
      </c>
      <c r="C1819" t="s">
        <v>108</v>
      </c>
      <c r="D1819" s="2">
        <v>3103.32</v>
      </c>
      <c r="E1819">
        <v>1</v>
      </c>
      <c r="F1819">
        <v>0.3</v>
      </c>
      <c r="G1819" t="s">
        <v>14</v>
      </c>
      <c r="H1819" t="s">
        <v>21</v>
      </c>
      <c r="I1819" t="s">
        <v>43</v>
      </c>
      <c r="J1819" s="2">
        <f>Table1_1[[#This Row],[Sales]]-Table1_1[[#This Row],[Sales]]*Table1_1[[#This Row],[Discount]]</f>
        <v>2172.3240000000001</v>
      </c>
      <c r="K1819" s="1">
        <v>45354</v>
      </c>
      <c r="L1819" s="11">
        <v>45361</v>
      </c>
      <c r="M1819">
        <f>DATEDIF(Table1_1[[#This Row],[Order Date]],Table1_1[[#This Row],[Ship Date]],"D")</f>
        <v>7</v>
      </c>
    </row>
    <row r="1820" spans="1:13" x14ac:dyDescent="0.35">
      <c r="A1820" t="s">
        <v>2236</v>
      </c>
      <c r="B1820" t="s">
        <v>687</v>
      </c>
      <c r="C1820" t="s">
        <v>341</v>
      </c>
      <c r="D1820" s="2">
        <v>4037.52</v>
      </c>
      <c r="E1820">
        <v>9</v>
      </c>
      <c r="F1820">
        <v>0</v>
      </c>
      <c r="G1820" t="s">
        <v>14</v>
      </c>
      <c r="H1820" t="s">
        <v>15</v>
      </c>
      <c r="I1820" t="s">
        <v>20</v>
      </c>
      <c r="J1820" s="2">
        <f>Table1_1[[#This Row],[Sales]]-Table1_1[[#This Row],[Sales]]*Table1_1[[#This Row],[Discount]]</f>
        <v>4037.52</v>
      </c>
      <c r="K1820" s="1">
        <v>45432</v>
      </c>
      <c r="L1820" s="11">
        <v>45438</v>
      </c>
      <c r="M1820">
        <f>DATEDIF(Table1_1[[#This Row],[Order Date]],Table1_1[[#This Row],[Ship Date]],"D")</f>
        <v>6</v>
      </c>
    </row>
    <row r="1821" spans="1:13" x14ac:dyDescent="0.35">
      <c r="A1821" t="s">
        <v>2237</v>
      </c>
      <c r="B1821" t="s">
        <v>193</v>
      </c>
      <c r="C1821" t="s">
        <v>146</v>
      </c>
      <c r="D1821" s="2">
        <v>4598.5</v>
      </c>
      <c r="E1821">
        <v>7</v>
      </c>
      <c r="F1821">
        <v>0.1</v>
      </c>
      <c r="G1821" t="s">
        <v>19</v>
      </c>
      <c r="H1821" t="s">
        <v>15</v>
      </c>
      <c r="I1821" t="s">
        <v>20</v>
      </c>
      <c r="J1821" s="2">
        <f>Table1_1[[#This Row],[Sales]]-Table1_1[[#This Row],[Sales]]*Table1_1[[#This Row],[Discount]]</f>
        <v>4138.6499999999996</v>
      </c>
      <c r="K1821" s="1">
        <v>45211</v>
      </c>
      <c r="L1821" s="11">
        <v>45214</v>
      </c>
      <c r="M1821">
        <f>DATEDIF(Table1_1[[#This Row],[Order Date]],Table1_1[[#This Row],[Ship Date]],"D")</f>
        <v>3</v>
      </c>
    </row>
    <row r="1822" spans="1:13" x14ac:dyDescent="0.35">
      <c r="A1822" t="s">
        <v>2238</v>
      </c>
      <c r="B1822" t="s">
        <v>650</v>
      </c>
      <c r="C1822" t="s">
        <v>281</v>
      </c>
      <c r="D1822" s="2">
        <v>1601.52</v>
      </c>
      <c r="E1822">
        <v>10</v>
      </c>
      <c r="F1822">
        <v>0.1</v>
      </c>
      <c r="G1822" t="s">
        <v>39</v>
      </c>
      <c r="H1822" t="s">
        <v>21</v>
      </c>
      <c r="I1822" t="s">
        <v>20</v>
      </c>
      <c r="J1822" s="2">
        <f>Table1_1[[#This Row],[Sales]]-Table1_1[[#This Row],[Sales]]*Table1_1[[#This Row],[Discount]]</f>
        <v>1441.3679999999999</v>
      </c>
      <c r="K1822" s="1">
        <v>45430</v>
      </c>
      <c r="L1822" s="11">
        <v>45435</v>
      </c>
      <c r="M1822">
        <f>DATEDIF(Table1_1[[#This Row],[Order Date]],Table1_1[[#This Row],[Ship Date]],"D")</f>
        <v>5</v>
      </c>
    </row>
    <row r="1823" spans="1:13" x14ac:dyDescent="0.35">
      <c r="A1823" t="s">
        <v>2239</v>
      </c>
      <c r="B1823" t="s">
        <v>290</v>
      </c>
      <c r="C1823" t="s">
        <v>194</v>
      </c>
      <c r="D1823" s="2">
        <v>3457.64</v>
      </c>
      <c r="E1823">
        <v>5</v>
      </c>
      <c r="F1823">
        <v>0.2</v>
      </c>
      <c r="G1823" t="s">
        <v>19</v>
      </c>
      <c r="H1823" t="s">
        <v>15</v>
      </c>
      <c r="I1823" t="s">
        <v>43</v>
      </c>
      <c r="J1823" s="2">
        <f>Table1_1[[#This Row],[Sales]]-Table1_1[[#This Row],[Sales]]*Table1_1[[#This Row],[Discount]]</f>
        <v>2766.1120000000001</v>
      </c>
      <c r="K1823" s="1">
        <v>45669</v>
      </c>
      <c r="L1823" s="11">
        <v>45675</v>
      </c>
      <c r="M1823">
        <f>DATEDIF(Table1_1[[#This Row],[Order Date]],Table1_1[[#This Row],[Ship Date]],"D")</f>
        <v>6</v>
      </c>
    </row>
    <row r="1824" spans="1:13" x14ac:dyDescent="0.35">
      <c r="A1824" t="s">
        <v>2240</v>
      </c>
      <c r="B1824" t="s">
        <v>618</v>
      </c>
      <c r="C1824" t="s">
        <v>265</v>
      </c>
      <c r="D1824" s="2">
        <v>3590.08</v>
      </c>
      <c r="E1824">
        <v>3</v>
      </c>
      <c r="F1824">
        <v>0</v>
      </c>
      <c r="G1824" t="s">
        <v>19</v>
      </c>
      <c r="H1824" t="s">
        <v>21</v>
      </c>
      <c r="I1824" t="s">
        <v>16</v>
      </c>
      <c r="J1824" s="2">
        <f>Table1_1[[#This Row],[Sales]]-Table1_1[[#This Row],[Sales]]*Table1_1[[#This Row],[Discount]]</f>
        <v>3590.08</v>
      </c>
      <c r="K1824" s="1">
        <v>45640</v>
      </c>
      <c r="L1824" s="11">
        <v>45647</v>
      </c>
      <c r="M1824">
        <f>DATEDIF(Table1_1[[#This Row],[Order Date]],Table1_1[[#This Row],[Ship Date]],"D")</f>
        <v>7</v>
      </c>
    </row>
    <row r="1825" spans="1:13" x14ac:dyDescent="0.35">
      <c r="A1825" t="s">
        <v>2241</v>
      </c>
      <c r="B1825" t="s">
        <v>1651</v>
      </c>
      <c r="C1825" t="s">
        <v>204</v>
      </c>
      <c r="D1825" s="2">
        <v>2028.3</v>
      </c>
      <c r="E1825">
        <v>4</v>
      </c>
      <c r="F1825">
        <v>0.1</v>
      </c>
      <c r="G1825" t="s">
        <v>14</v>
      </c>
      <c r="H1825" t="s">
        <v>15</v>
      </c>
      <c r="I1825" t="s">
        <v>20</v>
      </c>
      <c r="J1825" s="2">
        <f>Table1_1[[#This Row],[Sales]]-Table1_1[[#This Row],[Sales]]*Table1_1[[#This Row],[Discount]]</f>
        <v>1825.47</v>
      </c>
      <c r="K1825" s="1">
        <v>45752</v>
      </c>
      <c r="L1825" s="11">
        <v>45753</v>
      </c>
      <c r="M1825">
        <f>DATEDIF(Table1_1[[#This Row],[Order Date]],Table1_1[[#This Row],[Ship Date]],"D")</f>
        <v>1</v>
      </c>
    </row>
    <row r="1826" spans="1:13" x14ac:dyDescent="0.35">
      <c r="A1826" t="s">
        <v>2242</v>
      </c>
      <c r="B1826" t="s">
        <v>928</v>
      </c>
      <c r="C1826" t="s">
        <v>194</v>
      </c>
      <c r="D1826" s="2">
        <v>3675.89</v>
      </c>
      <c r="E1826">
        <v>10</v>
      </c>
      <c r="F1826">
        <v>0.2</v>
      </c>
      <c r="G1826" t="s">
        <v>19</v>
      </c>
      <c r="H1826" t="s">
        <v>21</v>
      </c>
      <c r="I1826" t="s">
        <v>20</v>
      </c>
      <c r="J1826" s="2">
        <f>Table1_1[[#This Row],[Sales]]-Table1_1[[#This Row],[Sales]]*Table1_1[[#This Row],[Discount]]</f>
        <v>2940.712</v>
      </c>
      <c r="K1826" s="1">
        <v>44942</v>
      </c>
      <c r="L1826" s="11">
        <v>44944</v>
      </c>
      <c r="M1826">
        <f>DATEDIF(Table1_1[[#This Row],[Order Date]],Table1_1[[#This Row],[Ship Date]],"D")</f>
        <v>2</v>
      </c>
    </row>
    <row r="1827" spans="1:13" x14ac:dyDescent="0.35">
      <c r="A1827" t="s">
        <v>2243</v>
      </c>
      <c r="B1827" t="s">
        <v>338</v>
      </c>
      <c r="C1827" t="s">
        <v>214</v>
      </c>
      <c r="D1827" s="2">
        <v>1647.59</v>
      </c>
      <c r="E1827">
        <v>4</v>
      </c>
      <c r="F1827">
        <v>0.3</v>
      </c>
      <c r="G1827" t="s">
        <v>19</v>
      </c>
      <c r="H1827" t="s">
        <v>15</v>
      </c>
      <c r="I1827" t="s">
        <v>16</v>
      </c>
      <c r="J1827" s="2">
        <f>Table1_1[[#This Row],[Sales]]-Table1_1[[#This Row],[Sales]]*Table1_1[[#This Row],[Discount]]</f>
        <v>1153.3130000000001</v>
      </c>
      <c r="K1827" s="1">
        <v>45069</v>
      </c>
      <c r="L1827" s="11">
        <v>45073</v>
      </c>
      <c r="M1827">
        <f>DATEDIF(Table1_1[[#This Row],[Order Date]],Table1_1[[#This Row],[Ship Date]],"D")</f>
        <v>4</v>
      </c>
    </row>
    <row r="1828" spans="1:13" x14ac:dyDescent="0.35">
      <c r="A1828" t="s">
        <v>2244</v>
      </c>
      <c r="B1828" t="s">
        <v>134</v>
      </c>
      <c r="C1828" t="s">
        <v>254</v>
      </c>
      <c r="D1828" s="2">
        <v>1176.76</v>
      </c>
      <c r="E1828">
        <v>7</v>
      </c>
      <c r="F1828">
        <v>0.2</v>
      </c>
      <c r="G1828" t="s">
        <v>14</v>
      </c>
      <c r="H1828" t="s">
        <v>15</v>
      </c>
      <c r="I1828" t="s">
        <v>16</v>
      </c>
      <c r="J1828" s="2">
        <f>Table1_1[[#This Row],[Sales]]-Table1_1[[#This Row],[Sales]]*Table1_1[[#This Row],[Discount]]</f>
        <v>941.40800000000002</v>
      </c>
      <c r="K1828" s="1">
        <v>45134</v>
      </c>
      <c r="L1828" s="11">
        <v>45135</v>
      </c>
      <c r="M1828">
        <f>DATEDIF(Table1_1[[#This Row],[Order Date]],Table1_1[[#This Row],[Ship Date]],"D")</f>
        <v>1</v>
      </c>
    </row>
    <row r="1829" spans="1:13" x14ac:dyDescent="0.35">
      <c r="A1829" t="s">
        <v>2245</v>
      </c>
      <c r="B1829" t="s">
        <v>242</v>
      </c>
      <c r="C1829" t="s">
        <v>113</v>
      </c>
      <c r="D1829" s="2">
        <v>193.87</v>
      </c>
      <c r="E1829">
        <v>1</v>
      </c>
      <c r="F1829">
        <v>0.2</v>
      </c>
      <c r="G1829" t="s">
        <v>14</v>
      </c>
      <c r="H1829" t="s">
        <v>21</v>
      </c>
      <c r="I1829" t="s">
        <v>43</v>
      </c>
      <c r="J1829" s="2">
        <f>Table1_1[[#This Row],[Sales]]-Table1_1[[#This Row],[Sales]]*Table1_1[[#This Row],[Discount]]</f>
        <v>155.096</v>
      </c>
      <c r="K1829" s="1">
        <v>45177</v>
      </c>
      <c r="L1829" s="11">
        <v>45181</v>
      </c>
      <c r="M1829">
        <f>DATEDIF(Table1_1[[#This Row],[Order Date]],Table1_1[[#This Row],[Ship Date]],"D")</f>
        <v>4</v>
      </c>
    </row>
    <row r="1830" spans="1:13" x14ac:dyDescent="0.35">
      <c r="A1830" t="s">
        <v>2246</v>
      </c>
      <c r="B1830" t="s">
        <v>184</v>
      </c>
      <c r="C1830" t="s">
        <v>243</v>
      </c>
      <c r="D1830" s="2">
        <v>2382.58</v>
      </c>
      <c r="E1830">
        <v>10</v>
      </c>
      <c r="F1830">
        <v>0</v>
      </c>
      <c r="G1830" t="s">
        <v>19</v>
      </c>
      <c r="H1830" t="s">
        <v>21</v>
      </c>
      <c r="I1830" t="s">
        <v>43</v>
      </c>
      <c r="J1830" s="2">
        <f>Table1_1[[#This Row],[Sales]]-Table1_1[[#This Row],[Sales]]*Table1_1[[#This Row],[Discount]]</f>
        <v>2382.58</v>
      </c>
      <c r="K1830" s="1">
        <v>45365</v>
      </c>
      <c r="L1830" s="11">
        <v>45370</v>
      </c>
      <c r="M1830">
        <f>DATEDIF(Table1_1[[#This Row],[Order Date]],Table1_1[[#This Row],[Ship Date]],"D")</f>
        <v>5</v>
      </c>
    </row>
    <row r="1831" spans="1:13" x14ac:dyDescent="0.35">
      <c r="A1831" t="s">
        <v>2247</v>
      </c>
      <c r="B1831" t="s">
        <v>168</v>
      </c>
      <c r="C1831" t="s">
        <v>42</v>
      </c>
      <c r="D1831" s="2">
        <v>1467.37</v>
      </c>
      <c r="E1831">
        <v>4</v>
      </c>
      <c r="F1831">
        <v>0</v>
      </c>
      <c r="G1831" t="s">
        <v>19</v>
      </c>
      <c r="H1831" t="s">
        <v>15</v>
      </c>
      <c r="I1831" t="s">
        <v>43</v>
      </c>
      <c r="J1831" s="2">
        <f>Table1_1[[#This Row],[Sales]]-Table1_1[[#This Row],[Sales]]*Table1_1[[#This Row],[Discount]]</f>
        <v>1467.37</v>
      </c>
      <c r="K1831" s="1">
        <v>45160</v>
      </c>
      <c r="L1831" s="11">
        <v>45166</v>
      </c>
      <c r="M1831">
        <f>DATEDIF(Table1_1[[#This Row],[Order Date]],Table1_1[[#This Row],[Ship Date]],"D")</f>
        <v>6</v>
      </c>
    </row>
    <row r="1832" spans="1:13" x14ac:dyDescent="0.35">
      <c r="A1832" t="s">
        <v>2248</v>
      </c>
      <c r="B1832" t="s">
        <v>664</v>
      </c>
      <c r="C1832" t="s">
        <v>73</v>
      </c>
      <c r="D1832" s="2">
        <v>220.38</v>
      </c>
      <c r="E1832">
        <v>1</v>
      </c>
      <c r="F1832">
        <v>0.2</v>
      </c>
      <c r="G1832" t="s">
        <v>19</v>
      </c>
      <c r="H1832" t="s">
        <v>21</v>
      </c>
      <c r="I1832" t="s">
        <v>16</v>
      </c>
      <c r="J1832" s="2">
        <f>Table1_1[[#This Row],[Sales]]-Table1_1[[#This Row],[Sales]]*Table1_1[[#This Row],[Discount]]</f>
        <v>176.304</v>
      </c>
      <c r="K1832" s="1">
        <v>45590</v>
      </c>
      <c r="L1832" s="11">
        <v>45596</v>
      </c>
      <c r="M1832">
        <f>DATEDIF(Table1_1[[#This Row],[Order Date]],Table1_1[[#This Row],[Ship Date]],"D")</f>
        <v>6</v>
      </c>
    </row>
    <row r="1833" spans="1:13" x14ac:dyDescent="0.35">
      <c r="A1833" t="s">
        <v>2249</v>
      </c>
      <c r="B1833" t="s">
        <v>145</v>
      </c>
      <c r="C1833" t="s">
        <v>281</v>
      </c>
      <c r="D1833" s="2">
        <v>3795.45</v>
      </c>
      <c r="E1833">
        <v>2</v>
      </c>
      <c r="F1833">
        <v>0.1</v>
      </c>
      <c r="G1833" t="s">
        <v>19</v>
      </c>
      <c r="H1833" t="s">
        <v>15</v>
      </c>
      <c r="I1833" t="s">
        <v>16</v>
      </c>
      <c r="J1833" s="2">
        <f>Table1_1[[#This Row],[Sales]]-Table1_1[[#This Row],[Sales]]*Table1_1[[#This Row],[Discount]]</f>
        <v>3415.9049999999997</v>
      </c>
      <c r="K1833" s="1">
        <v>45532</v>
      </c>
      <c r="L1833" s="11">
        <v>45537</v>
      </c>
      <c r="M1833">
        <f>DATEDIF(Table1_1[[#This Row],[Order Date]],Table1_1[[#This Row],[Ship Date]],"D")</f>
        <v>5</v>
      </c>
    </row>
    <row r="1834" spans="1:13" x14ac:dyDescent="0.35">
      <c r="A1834" t="s">
        <v>2250</v>
      </c>
      <c r="B1834" t="s">
        <v>1154</v>
      </c>
      <c r="C1834" t="s">
        <v>293</v>
      </c>
      <c r="D1834" s="2">
        <v>702.99</v>
      </c>
      <c r="E1834">
        <v>1</v>
      </c>
      <c r="F1834">
        <v>0.2</v>
      </c>
      <c r="G1834" t="s">
        <v>39</v>
      </c>
      <c r="H1834" t="s">
        <v>15</v>
      </c>
      <c r="I1834" t="s">
        <v>20</v>
      </c>
      <c r="J1834" s="2">
        <f>Table1_1[[#This Row],[Sales]]-Table1_1[[#This Row],[Sales]]*Table1_1[[#This Row],[Discount]]</f>
        <v>562.39200000000005</v>
      </c>
      <c r="K1834" s="1">
        <v>45076</v>
      </c>
      <c r="L1834" s="11">
        <v>45078</v>
      </c>
      <c r="M1834">
        <f>DATEDIF(Table1_1[[#This Row],[Order Date]],Table1_1[[#This Row],[Ship Date]],"D")</f>
        <v>2</v>
      </c>
    </row>
    <row r="1835" spans="1:13" x14ac:dyDescent="0.35">
      <c r="A1835" t="s">
        <v>2251</v>
      </c>
      <c r="B1835" t="s">
        <v>718</v>
      </c>
      <c r="C1835" t="s">
        <v>175</v>
      </c>
      <c r="D1835" s="2">
        <v>3191.61</v>
      </c>
      <c r="E1835">
        <v>10</v>
      </c>
      <c r="F1835">
        <v>0.1</v>
      </c>
      <c r="G1835" t="s">
        <v>39</v>
      </c>
      <c r="H1835" t="s">
        <v>15</v>
      </c>
      <c r="I1835" t="s">
        <v>16</v>
      </c>
      <c r="J1835" s="2">
        <f>Table1_1[[#This Row],[Sales]]-Table1_1[[#This Row],[Sales]]*Table1_1[[#This Row],[Discount]]</f>
        <v>2872.4490000000001</v>
      </c>
      <c r="K1835" s="1">
        <v>44974</v>
      </c>
      <c r="L1835" s="11">
        <v>44975</v>
      </c>
      <c r="M1835">
        <f>DATEDIF(Table1_1[[#This Row],[Order Date]],Table1_1[[#This Row],[Ship Date]],"D")</f>
        <v>1</v>
      </c>
    </row>
    <row r="1836" spans="1:13" x14ac:dyDescent="0.35">
      <c r="A1836" t="s">
        <v>2252</v>
      </c>
      <c r="B1836" t="s">
        <v>28</v>
      </c>
      <c r="C1836" t="s">
        <v>175</v>
      </c>
      <c r="D1836" s="2">
        <v>379.18</v>
      </c>
      <c r="E1836">
        <v>5</v>
      </c>
      <c r="F1836">
        <v>0</v>
      </c>
      <c r="G1836" t="s">
        <v>19</v>
      </c>
      <c r="H1836" t="s">
        <v>21</v>
      </c>
      <c r="I1836" t="s">
        <v>16</v>
      </c>
      <c r="J1836" s="2">
        <f>Table1_1[[#This Row],[Sales]]-Table1_1[[#This Row],[Sales]]*Table1_1[[#This Row],[Discount]]</f>
        <v>379.18</v>
      </c>
      <c r="K1836" s="1">
        <v>45474</v>
      </c>
      <c r="L1836" s="11">
        <v>45481</v>
      </c>
      <c r="M1836">
        <f>DATEDIF(Table1_1[[#This Row],[Order Date]],Table1_1[[#This Row],[Ship Date]],"D")</f>
        <v>7</v>
      </c>
    </row>
    <row r="1837" spans="1:13" x14ac:dyDescent="0.35">
      <c r="A1837" t="s">
        <v>2253</v>
      </c>
      <c r="B1837" t="s">
        <v>79</v>
      </c>
      <c r="C1837" t="s">
        <v>376</v>
      </c>
      <c r="D1837" s="2">
        <v>3882.57</v>
      </c>
      <c r="E1837">
        <v>4</v>
      </c>
      <c r="F1837">
        <v>0.1</v>
      </c>
      <c r="G1837" t="s">
        <v>39</v>
      </c>
      <c r="H1837" t="s">
        <v>21</v>
      </c>
      <c r="I1837" t="s">
        <v>16</v>
      </c>
      <c r="J1837" s="2">
        <f>Table1_1[[#This Row],[Sales]]-Table1_1[[#This Row],[Sales]]*Table1_1[[#This Row],[Discount]]</f>
        <v>3494.3130000000001</v>
      </c>
      <c r="K1837" s="1">
        <v>44941</v>
      </c>
      <c r="L1837" s="11">
        <v>44944</v>
      </c>
      <c r="M1837">
        <f>DATEDIF(Table1_1[[#This Row],[Order Date]],Table1_1[[#This Row],[Ship Date]],"D")</f>
        <v>3</v>
      </c>
    </row>
    <row r="1838" spans="1:13" x14ac:dyDescent="0.35">
      <c r="A1838" t="s">
        <v>2254</v>
      </c>
      <c r="B1838" t="s">
        <v>225</v>
      </c>
      <c r="C1838" t="s">
        <v>243</v>
      </c>
      <c r="D1838" s="2">
        <v>1100.1500000000001</v>
      </c>
      <c r="E1838">
        <v>10</v>
      </c>
      <c r="F1838">
        <v>0.2</v>
      </c>
      <c r="G1838" t="s">
        <v>19</v>
      </c>
      <c r="H1838" t="s">
        <v>15</v>
      </c>
      <c r="I1838" t="s">
        <v>16</v>
      </c>
      <c r="J1838" s="2">
        <f>Table1_1[[#This Row],[Sales]]-Table1_1[[#This Row],[Sales]]*Table1_1[[#This Row],[Discount]]</f>
        <v>880.12000000000012</v>
      </c>
      <c r="K1838" s="1">
        <v>45263</v>
      </c>
      <c r="L1838" s="11">
        <v>45266</v>
      </c>
      <c r="M1838">
        <f>DATEDIF(Table1_1[[#This Row],[Order Date]],Table1_1[[#This Row],[Ship Date]],"D")</f>
        <v>3</v>
      </c>
    </row>
    <row r="1839" spans="1:13" x14ac:dyDescent="0.35">
      <c r="A1839" t="s">
        <v>2255</v>
      </c>
      <c r="B1839" t="s">
        <v>791</v>
      </c>
      <c r="C1839" t="s">
        <v>278</v>
      </c>
      <c r="D1839" s="2">
        <v>1895.56</v>
      </c>
      <c r="E1839">
        <v>3</v>
      </c>
      <c r="F1839">
        <v>0.2</v>
      </c>
      <c r="G1839" t="s">
        <v>14</v>
      </c>
      <c r="H1839" t="s">
        <v>21</v>
      </c>
      <c r="I1839" t="s">
        <v>43</v>
      </c>
      <c r="J1839" s="2">
        <f>Table1_1[[#This Row],[Sales]]-Table1_1[[#This Row],[Sales]]*Table1_1[[#This Row],[Discount]]</f>
        <v>1516.4479999999999</v>
      </c>
      <c r="K1839" s="1">
        <v>45642</v>
      </c>
      <c r="L1839" s="11">
        <v>45647</v>
      </c>
      <c r="M1839">
        <f>DATEDIF(Table1_1[[#This Row],[Order Date]],Table1_1[[#This Row],[Ship Date]],"D")</f>
        <v>5</v>
      </c>
    </row>
    <row r="1840" spans="1:13" x14ac:dyDescent="0.35">
      <c r="A1840" t="s">
        <v>2256</v>
      </c>
      <c r="B1840" t="s">
        <v>876</v>
      </c>
      <c r="C1840" t="s">
        <v>565</v>
      </c>
      <c r="D1840" s="2">
        <v>4294.83</v>
      </c>
      <c r="E1840">
        <v>8</v>
      </c>
      <c r="F1840">
        <v>0</v>
      </c>
      <c r="G1840" t="s">
        <v>14</v>
      </c>
      <c r="H1840" t="s">
        <v>15</v>
      </c>
      <c r="I1840" t="s">
        <v>16</v>
      </c>
      <c r="J1840" s="2">
        <f>Table1_1[[#This Row],[Sales]]-Table1_1[[#This Row],[Sales]]*Table1_1[[#This Row],[Discount]]</f>
        <v>4294.83</v>
      </c>
      <c r="K1840" s="1">
        <v>45414</v>
      </c>
      <c r="L1840" s="11">
        <v>45417</v>
      </c>
      <c r="M1840">
        <f>DATEDIF(Table1_1[[#This Row],[Order Date]],Table1_1[[#This Row],[Ship Date]],"D")</f>
        <v>3</v>
      </c>
    </row>
    <row r="1841" spans="1:13" x14ac:dyDescent="0.35">
      <c r="A1841" t="s">
        <v>2257</v>
      </c>
      <c r="B1841" t="s">
        <v>520</v>
      </c>
      <c r="C1841" t="s">
        <v>259</v>
      </c>
      <c r="D1841" s="2">
        <v>1264.21</v>
      </c>
      <c r="E1841">
        <v>1</v>
      </c>
      <c r="F1841">
        <v>0.3</v>
      </c>
      <c r="G1841" t="s">
        <v>14</v>
      </c>
      <c r="H1841" t="s">
        <v>21</v>
      </c>
      <c r="I1841" t="s">
        <v>16</v>
      </c>
      <c r="J1841" s="2">
        <f>Table1_1[[#This Row],[Sales]]-Table1_1[[#This Row],[Sales]]*Table1_1[[#This Row],[Discount]]</f>
        <v>884.94700000000012</v>
      </c>
      <c r="K1841" s="1">
        <v>44954</v>
      </c>
      <c r="L1841" s="11">
        <v>44957</v>
      </c>
      <c r="M1841">
        <f>DATEDIF(Table1_1[[#This Row],[Order Date]],Table1_1[[#This Row],[Ship Date]],"D")</f>
        <v>3</v>
      </c>
    </row>
    <row r="1842" spans="1:13" x14ac:dyDescent="0.35">
      <c r="A1842" t="s">
        <v>2258</v>
      </c>
      <c r="B1842" t="s">
        <v>661</v>
      </c>
      <c r="C1842" t="s">
        <v>448</v>
      </c>
      <c r="D1842" s="2">
        <v>192.86</v>
      </c>
      <c r="E1842">
        <v>3</v>
      </c>
      <c r="F1842">
        <v>0.2</v>
      </c>
      <c r="G1842" t="s">
        <v>19</v>
      </c>
      <c r="H1842" t="s">
        <v>15</v>
      </c>
      <c r="I1842" t="s">
        <v>20</v>
      </c>
      <c r="J1842" s="2">
        <f>Table1_1[[#This Row],[Sales]]-Table1_1[[#This Row],[Sales]]*Table1_1[[#This Row],[Discount]]</f>
        <v>154.28800000000001</v>
      </c>
      <c r="K1842" s="1">
        <v>45613</v>
      </c>
      <c r="L1842" s="11">
        <v>45614</v>
      </c>
      <c r="M1842">
        <f>DATEDIF(Table1_1[[#This Row],[Order Date]],Table1_1[[#This Row],[Ship Date]],"D")</f>
        <v>1</v>
      </c>
    </row>
    <row r="1843" spans="1:13" x14ac:dyDescent="0.35">
      <c r="A1843" t="s">
        <v>2259</v>
      </c>
      <c r="B1843" t="s">
        <v>171</v>
      </c>
      <c r="C1843" t="s">
        <v>820</v>
      </c>
      <c r="D1843" s="2">
        <v>1829.95</v>
      </c>
      <c r="E1843">
        <v>1</v>
      </c>
      <c r="F1843">
        <v>0.3</v>
      </c>
      <c r="G1843" t="s">
        <v>39</v>
      </c>
      <c r="H1843" t="s">
        <v>15</v>
      </c>
      <c r="I1843" t="s">
        <v>20</v>
      </c>
      <c r="J1843" s="2">
        <f>Table1_1[[#This Row],[Sales]]-Table1_1[[#This Row],[Sales]]*Table1_1[[#This Row],[Discount]]</f>
        <v>1280.9650000000001</v>
      </c>
      <c r="K1843" s="1">
        <v>45121</v>
      </c>
      <c r="L1843" s="11">
        <v>45127</v>
      </c>
      <c r="M1843">
        <f>DATEDIF(Table1_1[[#This Row],[Order Date]],Table1_1[[#This Row],[Ship Date]],"D")</f>
        <v>6</v>
      </c>
    </row>
    <row r="1844" spans="1:13" x14ac:dyDescent="0.35">
      <c r="A1844" t="s">
        <v>2260</v>
      </c>
      <c r="B1844" t="s">
        <v>590</v>
      </c>
      <c r="C1844" t="s">
        <v>217</v>
      </c>
      <c r="D1844" s="2">
        <v>3011.31</v>
      </c>
      <c r="E1844">
        <v>9</v>
      </c>
      <c r="F1844">
        <v>0.1</v>
      </c>
      <c r="G1844" t="s">
        <v>19</v>
      </c>
      <c r="H1844" t="s">
        <v>15</v>
      </c>
      <c r="I1844" t="s">
        <v>20</v>
      </c>
      <c r="J1844" s="2">
        <f>Table1_1[[#This Row],[Sales]]-Table1_1[[#This Row],[Sales]]*Table1_1[[#This Row],[Discount]]</f>
        <v>2710.1790000000001</v>
      </c>
      <c r="K1844" s="1">
        <v>45404</v>
      </c>
      <c r="L1844" s="11">
        <v>45410</v>
      </c>
      <c r="M1844">
        <f>DATEDIF(Table1_1[[#This Row],[Order Date]],Table1_1[[#This Row],[Ship Date]],"D")</f>
        <v>6</v>
      </c>
    </row>
    <row r="1845" spans="1:13" x14ac:dyDescent="0.35">
      <c r="A1845" t="s">
        <v>2261</v>
      </c>
      <c r="B1845" t="s">
        <v>391</v>
      </c>
      <c r="C1845" t="s">
        <v>204</v>
      </c>
      <c r="D1845" s="2">
        <v>2282.42</v>
      </c>
      <c r="E1845">
        <v>1</v>
      </c>
      <c r="F1845">
        <v>0.1</v>
      </c>
      <c r="G1845" t="s">
        <v>19</v>
      </c>
      <c r="H1845" t="s">
        <v>15</v>
      </c>
      <c r="I1845" t="s">
        <v>43</v>
      </c>
      <c r="J1845" s="2">
        <f>Table1_1[[#This Row],[Sales]]-Table1_1[[#This Row],[Sales]]*Table1_1[[#This Row],[Discount]]</f>
        <v>2054.1779999999999</v>
      </c>
      <c r="K1845" s="1">
        <v>45801</v>
      </c>
      <c r="L1845" s="11">
        <v>45803</v>
      </c>
      <c r="M1845">
        <f>DATEDIF(Table1_1[[#This Row],[Order Date]],Table1_1[[#This Row],[Ship Date]],"D")</f>
        <v>2</v>
      </c>
    </row>
    <row r="1846" spans="1:13" x14ac:dyDescent="0.35">
      <c r="A1846" t="s">
        <v>2262</v>
      </c>
      <c r="B1846" t="s">
        <v>303</v>
      </c>
      <c r="C1846" t="s">
        <v>268</v>
      </c>
      <c r="D1846" s="2">
        <v>605.30999999999995</v>
      </c>
      <c r="E1846">
        <v>3</v>
      </c>
      <c r="F1846">
        <v>0.1</v>
      </c>
      <c r="G1846" t="s">
        <v>14</v>
      </c>
      <c r="H1846" t="s">
        <v>21</v>
      </c>
      <c r="I1846" t="s">
        <v>20</v>
      </c>
      <c r="J1846" s="2">
        <f>Table1_1[[#This Row],[Sales]]-Table1_1[[#This Row],[Sales]]*Table1_1[[#This Row],[Discount]]</f>
        <v>544.779</v>
      </c>
      <c r="K1846" s="1">
        <v>45417</v>
      </c>
      <c r="L1846" s="11">
        <v>45419</v>
      </c>
      <c r="M1846">
        <f>DATEDIF(Table1_1[[#This Row],[Order Date]],Table1_1[[#This Row],[Ship Date]],"D")</f>
        <v>2</v>
      </c>
    </row>
    <row r="1847" spans="1:13" x14ac:dyDescent="0.35">
      <c r="A1847" t="s">
        <v>2263</v>
      </c>
      <c r="B1847" t="s">
        <v>340</v>
      </c>
      <c r="C1847" t="s">
        <v>73</v>
      </c>
      <c r="D1847" s="2">
        <v>960.14</v>
      </c>
      <c r="E1847">
        <v>10</v>
      </c>
      <c r="F1847">
        <v>0.1</v>
      </c>
      <c r="G1847" t="s">
        <v>14</v>
      </c>
      <c r="H1847" t="s">
        <v>21</v>
      </c>
      <c r="I1847" t="s">
        <v>20</v>
      </c>
      <c r="J1847" s="2">
        <f>Table1_1[[#This Row],[Sales]]-Table1_1[[#This Row],[Sales]]*Table1_1[[#This Row],[Discount]]</f>
        <v>864.12599999999998</v>
      </c>
      <c r="K1847" s="1">
        <v>45424</v>
      </c>
      <c r="L1847" s="11">
        <v>45431</v>
      </c>
      <c r="M1847">
        <f>DATEDIF(Table1_1[[#This Row],[Order Date]],Table1_1[[#This Row],[Ship Date]],"D")</f>
        <v>7</v>
      </c>
    </row>
    <row r="1848" spans="1:13" x14ac:dyDescent="0.35">
      <c r="A1848" t="s">
        <v>2264</v>
      </c>
      <c r="B1848" t="s">
        <v>30</v>
      </c>
      <c r="C1848" t="s">
        <v>77</v>
      </c>
      <c r="D1848" s="2">
        <v>3901.22</v>
      </c>
      <c r="E1848">
        <v>7</v>
      </c>
      <c r="F1848">
        <v>0</v>
      </c>
      <c r="G1848" t="s">
        <v>19</v>
      </c>
      <c r="H1848" t="s">
        <v>21</v>
      </c>
      <c r="I1848" t="s">
        <v>20</v>
      </c>
      <c r="J1848" s="2">
        <f>Table1_1[[#This Row],[Sales]]-Table1_1[[#This Row],[Sales]]*Table1_1[[#This Row],[Discount]]</f>
        <v>3901.22</v>
      </c>
      <c r="K1848" s="1">
        <v>45457</v>
      </c>
      <c r="L1848" s="11">
        <v>45463</v>
      </c>
      <c r="M1848">
        <f>DATEDIF(Table1_1[[#This Row],[Order Date]],Table1_1[[#This Row],[Ship Date]],"D")</f>
        <v>6</v>
      </c>
    </row>
    <row r="1849" spans="1:13" x14ac:dyDescent="0.35">
      <c r="A1849" t="s">
        <v>2265</v>
      </c>
      <c r="B1849" t="s">
        <v>652</v>
      </c>
      <c r="C1849" t="s">
        <v>354</v>
      </c>
      <c r="D1849" s="2">
        <v>1116.6199999999999</v>
      </c>
      <c r="E1849">
        <v>10</v>
      </c>
      <c r="F1849">
        <v>0.2</v>
      </c>
      <c r="G1849" t="s">
        <v>39</v>
      </c>
      <c r="H1849" t="s">
        <v>15</v>
      </c>
      <c r="I1849" t="s">
        <v>20</v>
      </c>
      <c r="J1849" s="2">
        <f>Table1_1[[#This Row],[Sales]]-Table1_1[[#This Row],[Sales]]*Table1_1[[#This Row],[Discount]]</f>
        <v>893.29599999999994</v>
      </c>
      <c r="K1849" s="1">
        <v>45275</v>
      </c>
      <c r="L1849" s="11">
        <v>45277</v>
      </c>
      <c r="M1849">
        <f>DATEDIF(Table1_1[[#This Row],[Order Date]],Table1_1[[#This Row],[Ship Date]],"D")</f>
        <v>2</v>
      </c>
    </row>
    <row r="1850" spans="1:13" x14ac:dyDescent="0.35">
      <c r="A1850" t="s">
        <v>2266</v>
      </c>
      <c r="B1850" t="s">
        <v>738</v>
      </c>
      <c r="C1850" t="s">
        <v>135</v>
      </c>
      <c r="D1850" s="2">
        <v>1871.46</v>
      </c>
      <c r="E1850">
        <v>2</v>
      </c>
      <c r="F1850">
        <v>0.1</v>
      </c>
      <c r="G1850" t="s">
        <v>19</v>
      </c>
      <c r="H1850" t="s">
        <v>15</v>
      </c>
      <c r="I1850" t="s">
        <v>16</v>
      </c>
      <c r="J1850" s="2">
        <f>Table1_1[[#This Row],[Sales]]-Table1_1[[#This Row],[Sales]]*Table1_1[[#This Row],[Discount]]</f>
        <v>1684.3140000000001</v>
      </c>
      <c r="K1850" s="1">
        <v>45659</v>
      </c>
      <c r="L1850" s="11">
        <v>45661</v>
      </c>
      <c r="M1850">
        <f>DATEDIF(Table1_1[[#This Row],[Order Date]],Table1_1[[#This Row],[Ship Date]],"D")</f>
        <v>2</v>
      </c>
    </row>
    <row r="1851" spans="1:13" x14ac:dyDescent="0.35">
      <c r="A1851" t="s">
        <v>2267</v>
      </c>
      <c r="B1851" t="s">
        <v>866</v>
      </c>
      <c r="C1851" t="s">
        <v>243</v>
      </c>
      <c r="D1851" s="2">
        <v>364.2</v>
      </c>
      <c r="E1851">
        <v>10</v>
      </c>
      <c r="F1851">
        <v>0.3</v>
      </c>
      <c r="G1851" t="s">
        <v>14</v>
      </c>
      <c r="H1851" t="s">
        <v>15</v>
      </c>
      <c r="I1851" t="s">
        <v>43</v>
      </c>
      <c r="J1851" s="2">
        <f>Table1_1[[#This Row],[Sales]]-Table1_1[[#This Row],[Sales]]*Table1_1[[#This Row],[Discount]]</f>
        <v>254.94</v>
      </c>
      <c r="K1851" s="1">
        <v>45376</v>
      </c>
      <c r="L1851" s="11">
        <v>45377</v>
      </c>
      <c r="M1851">
        <f>DATEDIF(Table1_1[[#This Row],[Order Date]],Table1_1[[#This Row],[Ship Date]],"D")</f>
        <v>1</v>
      </c>
    </row>
    <row r="1852" spans="1:13" x14ac:dyDescent="0.35">
      <c r="A1852" t="s">
        <v>2268</v>
      </c>
      <c r="B1852" t="s">
        <v>151</v>
      </c>
      <c r="C1852" t="s">
        <v>441</v>
      </c>
      <c r="D1852" s="2">
        <v>2289.71</v>
      </c>
      <c r="E1852">
        <v>3</v>
      </c>
      <c r="F1852">
        <v>0.1</v>
      </c>
      <c r="G1852" t="s">
        <v>39</v>
      </c>
      <c r="H1852" t="s">
        <v>15</v>
      </c>
      <c r="I1852" t="s">
        <v>16</v>
      </c>
      <c r="J1852" s="2">
        <f>Table1_1[[#This Row],[Sales]]-Table1_1[[#This Row],[Sales]]*Table1_1[[#This Row],[Discount]]</f>
        <v>2060.739</v>
      </c>
      <c r="K1852" s="1">
        <v>45399</v>
      </c>
      <c r="L1852" s="11">
        <v>45404</v>
      </c>
      <c r="M1852">
        <f>DATEDIF(Table1_1[[#This Row],[Order Date]],Table1_1[[#This Row],[Ship Date]],"D")</f>
        <v>5</v>
      </c>
    </row>
    <row r="1853" spans="1:13" x14ac:dyDescent="0.35">
      <c r="A1853" t="s">
        <v>2269</v>
      </c>
      <c r="B1853" t="s">
        <v>964</v>
      </c>
      <c r="C1853" t="s">
        <v>57</v>
      </c>
      <c r="D1853" s="2">
        <v>4132.1899999999996</v>
      </c>
      <c r="E1853">
        <v>5</v>
      </c>
      <c r="F1853">
        <v>0.3</v>
      </c>
      <c r="G1853" t="s">
        <v>14</v>
      </c>
      <c r="H1853" t="s">
        <v>15</v>
      </c>
      <c r="I1853" t="s">
        <v>16</v>
      </c>
      <c r="J1853" s="2">
        <f>Table1_1[[#This Row],[Sales]]-Table1_1[[#This Row],[Sales]]*Table1_1[[#This Row],[Discount]]</f>
        <v>2892.5329999999994</v>
      </c>
      <c r="K1853" s="1">
        <v>45250</v>
      </c>
      <c r="L1853" s="11">
        <v>45255</v>
      </c>
      <c r="M1853">
        <f>DATEDIF(Table1_1[[#This Row],[Order Date]],Table1_1[[#This Row],[Ship Date]],"D")</f>
        <v>5</v>
      </c>
    </row>
    <row r="1854" spans="1:13" x14ac:dyDescent="0.35">
      <c r="A1854" t="s">
        <v>2270</v>
      </c>
      <c r="B1854" t="s">
        <v>301</v>
      </c>
      <c r="C1854" t="s">
        <v>268</v>
      </c>
      <c r="D1854" s="2">
        <v>2938.53</v>
      </c>
      <c r="E1854">
        <v>10</v>
      </c>
      <c r="F1854">
        <v>0.2</v>
      </c>
      <c r="G1854" t="s">
        <v>14</v>
      </c>
      <c r="H1854" t="s">
        <v>15</v>
      </c>
      <c r="I1854" t="s">
        <v>20</v>
      </c>
      <c r="J1854" s="2">
        <f>Table1_1[[#This Row],[Sales]]-Table1_1[[#This Row],[Sales]]*Table1_1[[#This Row],[Discount]]</f>
        <v>2350.8240000000001</v>
      </c>
      <c r="K1854" s="1">
        <v>45226</v>
      </c>
      <c r="L1854" s="11">
        <v>45229</v>
      </c>
      <c r="M1854">
        <f>DATEDIF(Table1_1[[#This Row],[Order Date]],Table1_1[[#This Row],[Ship Date]],"D")</f>
        <v>3</v>
      </c>
    </row>
    <row r="1855" spans="1:13" x14ac:dyDescent="0.35">
      <c r="A1855" t="s">
        <v>2271</v>
      </c>
      <c r="B1855" t="s">
        <v>258</v>
      </c>
      <c r="C1855" t="s">
        <v>113</v>
      </c>
      <c r="D1855" s="2">
        <v>1332.59</v>
      </c>
      <c r="E1855">
        <v>8</v>
      </c>
      <c r="F1855">
        <v>0.2</v>
      </c>
      <c r="G1855" t="s">
        <v>19</v>
      </c>
      <c r="H1855" t="s">
        <v>15</v>
      </c>
      <c r="I1855" t="s">
        <v>20</v>
      </c>
      <c r="J1855" s="2">
        <f>Table1_1[[#This Row],[Sales]]-Table1_1[[#This Row],[Sales]]*Table1_1[[#This Row],[Discount]]</f>
        <v>1066.0719999999999</v>
      </c>
      <c r="K1855" s="1">
        <v>45587</v>
      </c>
      <c r="L1855" s="11">
        <v>45594</v>
      </c>
      <c r="M1855">
        <f>DATEDIF(Table1_1[[#This Row],[Order Date]],Table1_1[[#This Row],[Ship Date]],"D")</f>
        <v>7</v>
      </c>
    </row>
    <row r="1856" spans="1:13" x14ac:dyDescent="0.35">
      <c r="A1856" t="s">
        <v>2272</v>
      </c>
      <c r="B1856" t="s">
        <v>1307</v>
      </c>
      <c r="C1856" t="s">
        <v>105</v>
      </c>
      <c r="D1856" s="2">
        <v>1901.35</v>
      </c>
      <c r="E1856">
        <v>7</v>
      </c>
      <c r="F1856">
        <v>0.3</v>
      </c>
      <c r="G1856" t="s">
        <v>19</v>
      </c>
      <c r="H1856" t="s">
        <v>15</v>
      </c>
      <c r="I1856" t="s">
        <v>20</v>
      </c>
      <c r="J1856" s="2">
        <f>Table1_1[[#This Row],[Sales]]-Table1_1[[#This Row],[Sales]]*Table1_1[[#This Row],[Discount]]</f>
        <v>1330.9449999999999</v>
      </c>
      <c r="K1856" s="1">
        <v>45376</v>
      </c>
      <c r="L1856" s="11">
        <v>45381</v>
      </c>
      <c r="M1856">
        <f>DATEDIF(Table1_1[[#This Row],[Order Date]],Table1_1[[#This Row],[Ship Date]],"D")</f>
        <v>5</v>
      </c>
    </row>
    <row r="1857" spans="1:13" x14ac:dyDescent="0.35">
      <c r="A1857" t="s">
        <v>2273</v>
      </c>
      <c r="B1857" t="s">
        <v>770</v>
      </c>
      <c r="C1857" t="s">
        <v>42</v>
      </c>
      <c r="D1857" s="2">
        <v>4531.04</v>
      </c>
      <c r="E1857">
        <v>8</v>
      </c>
      <c r="F1857">
        <v>0.2</v>
      </c>
      <c r="G1857" t="s">
        <v>19</v>
      </c>
      <c r="H1857" t="s">
        <v>21</v>
      </c>
      <c r="I1857" t="s">
        <v>20</v>
      </c>
      <c r="J1857" s="2">
        <f>Table1_1[[#This Row],[Sales]]-Table1_1[[#This Row],[Sales]]*Table1_1[[#This Row],[Discount]]</f>
        <v>3624.8319999999999</v>
      </c>
      <c r="K1857" s="1">
        <v>45477</v>
      </c>
      <c r="L1857" s="11">
        <v>45481</v>
      </c>
      <c r="M1857">
        <f>DATEDIF(Table1_1[[#This Row],[Order Date]],Table1_1[[#This Row],[Ship Date]],"D")</f>
        <v>4</v>
      </c>
    </row>
    <row r="1858" spans="1:13" x14ac:dyDescent="0.35">
      <c r="A1858" t="s">
        <v>2274</v>
      </c>
      <c r="B1858" t="s">
        <v>1004</v>
      </c>
      <c r="C1858" t="s">
        <v>42</v>
      </c>
      <c r="D1858" s="2">
        <v>2911.4</v>
      </c>
      <c r="E1858">
        <v>8</v>
      </c>
      <c r="F1858">
        <v>0.1</v>
      </c>
      <c r="G1858" t="s">
        <v>14</v>
      </c>
      <c r="H1858" t="s">
        <v>21</v>
      </c>
      <c r="I1858" t="s">
        <v>20</v>
      </c>
      <c r="J1858" s="2">
        <f>Table1_1[[#This Row],[Sales]]-Table1_1[[#This Row],[Sales]]*Table1_1[[#This Row],[Discount]]</f>
        <v>2620.2600000000002</v>
      </c>
      <c r="K1858" s="1">
        <v>45572</v>
      </c>
      <c r="L1858" s="11">
        <v>45576</v>
      </c>
      <c r="M1858">
        <f>DATEDIF(Table1_1[[#This Row],[Order Date]],Table1_1[[#This Row],[Ship Date]],"D")</f>
        <v>4</v>
      </c>
    </row>
    <row r="1859" spans="1:13" x14ac:dyDescent="0.35">
      <c r="A1859" t="s">
        <v>2275</v>
      </c>
      <c r="B1859" t="s">
        <v>1122</v>
      </c>
      <c r="C1859" t="s">
        <v>624</v>
      </c>
      <c r="D1859" s="2">
        <v>4006.32</v>
      </c>
      <c r="E1859">
        <v>7</v>
      </c>
      <c r="F1859">
        <v>0.3</v>
      </c>
      <c r="G1859" t="s">
        <v>39</v>
      </c>
      <c r="H1859" t="s">
        <v>21</v>
      </c>
      <c r="I1859" t="s">
        <v>20</v>
      </c>
      <c r="J1859" s="2">
        <f>Table1_1[[#This Row],[Sales]]-Table1_1[[#This Row],[Sales]]*Table1_1[[#This Row],[Discount]]</f>
        <v>2804.424</v>
      </c>
      <c r="K1859" s="1">
        <v>45430</v>
      </c>
      <c r="L1859" s="11">
        <v>45436</v>
      </c>
      <c r="M1859">
        <f>DATEDIF(Table1_1[[#This Row],[Order Date]],Table1_1[[#This Row],[Ship Date]],"D")</f>
        <v>6</v>
      </c>
    </row>
    <row r="1860" spans="1:13" x14ac:dyDescent="0.35">
      <c r="A1860" t="s">
        <v>2276</v>
      </c>
      <c r="B1860" t="s">
        <v>173</v>
      </c>
      <c r="C1860" t="s">
        <v>259</v>
      </c>
      <c r="D1860" s="2">
        <v>415.61</v>
      </c>
      <c r="E1860">
        <v>1</v>
      </c>
      <c r="F1860">
        <v>0.2</v>
      </c>
      <c r="G1860" t="s">
        <v>39</v>
      </c>
      <c r="H1860" t="s">
        <v>21</v>
      </c>
      <c r="I1860" t="s">
        <v>43</v>
      </c>
      <c r="J1860" s="2">
        <f>Table1_1[[#This Row],[Sales]]-Table1_1[[#This Row],[Sales]]*Table1_1[[#This Row],[Discount]]</f>
        <v>332.488</v>
      </c>
      <c r="K1860" s="1">
        <v>45583</v>
      </c>
      <c r="L1860" s="11">
        <v>45587</v>
      </c>
      <c r="M1860">
        <f>DATEDIF(Table1_1[[#This Row],[Order Date]],Table1_1[[#This Row],[Ship Date]],"D")</f>
        <v>4</v>
      </c>
    </row>
    <row r="1861" spans="1:13" x14ac:dyDescent="0.35">
      <c r="A1861" t="s">
        <v>2277</v>
      </c>
      <c r="B1861" t="s">
        <v>261</v>
      </c>
      <c r="C1861" t="s">
        <v>293</v>
      </c>
      <c r="D1861" s="2">
        <v>557.15</v>
      </c>
      <c r="E1861">
        <v>6</v>
      </c>
      <c r="F1861">
        <v>0</v>
      </c>
      <c r="G1861" t="s">
        <v>39</v>
      </c>
      <c r="H1861" t="s">
        <v>21</v>
      </c>
      <c r="I1861" t="s">
        <v>16</v>
      </c>
      <c r="J1861" s="2">
        <f>Table1_1[[#This Row],[Sales]]-Table1_1[[#This Row],[Sales]]*Table1_1[[#This Row],[Discount]]</f>
        <v>557.15</v>
      </c>
      <c r="K1861" s="1">
        <v>45332</v>
      </c>
      <c r="L1861" s="11">
        <v>45339</v>
      </c>
      <c r="M1861">
        <f>DATEDIF(Table1_1[[#This Row],[Order Date]],Table1_1[[#This Row],[Ship Date]],"D")</f>
        <v>7</v>
      </c>
    </row>
    <row r="1862" spans="1:13" x14ac:dyDescent="0.35">
      <c r="A1862" t="s">
        <v>2278</v>
      </c>
      <c r="B1862" t="s">
        <v>264</v>
      </c>
      <c r="C1862" t="s">
        <v>231</v>
      </c>
      <c r="D1862" s="2">
        <v>3199.78</v>
      </c>
      <c r="E1862">
        <v>10</v>
      </c>
      <c r="F1862">
        <v>0.2</v>
      </c>
      <c r="G1862" t="s">
        <v>14</v>
      </c>
      <c r="H1862" t="s">
        <v>15</v>
      </c>
      <c r="I1862" t="s">
        <v>43</v>
      </c>
      <c r="J1862" s="2">
        <f>Table1_1[[#This Row],[Sales]]-Table1_1[[#This Row],[Sales]]*Table1_1[[#This Row],[Discount]]</f>
        <v>2559.8240000000001</v>
      </c>
      <c r="K1862" s="1">
        <v>45771</v>
      </c>
      <c r="L1862" s="11">
        <v>45777</v>
      </c>
      <c r="M1862">
        <f>DATEDIF(Table1_1[[#This Row],[Order Date]],Table1_1[[#This Row],[Ship Date]],"D")</f>
        <v>6</v>
      </c>
    </row>
    <row r="1863" spans="1:13" x14ac:dyDescent="0.35">
      <c r="A1863" t="s">
        <v>2279</v>
      </c>
      <c r="B1863" t="s">
        <v>530</v>
      </c>
      <c r="C1863" t="s">
        <v>443</v>
      </c>
      <c r="D1863" s="2">
        <v>2200.46</v>
      </c>
      <c r="E1863">
        <v>3</v>
      </c>
      <c r="F1863">
        <v>0.2</v>
      </c>
      <c r="G1863" t="s">
        <v>39</v>
      </c>
      <c r="H1863" t="s">
        <v>21</v>
      </c>
      <c r="I1863" t="s">
        <v>43</v>
      </c>
      <c r="J1863" s="2">
        <f>Table1_1[[#This Row],[Sales]]-Table1_1[[#This Row],[Sales]]*Table1_1[[#This Row],[Discount]]</f>
        <v>1760.3679999999999</v>
      </c>
      <c r="K1863" s="1">
        <v>45277</v>
      </c>
      <c r="L1863" s="11">
        <v>45280</v>
      </c>
      <c r="M1863">
        <f>DATEDIF(Table1_1[[#This Row],[Order Date]],Table1_1[[#This Row],[Ship Date]],"D")</f>
        <v>3</v>
      </c>
    </row>
    <row r="1864" spans="1:13" x14ac:dyDescent="0.35">
      <c r="A1864" t="s">
        <v>2280</v>
      </c>
      <c r="B1864" t="s">
        <v>426</v>
      </c>
      <c r="C1864" t="s">
        <v>259</v>
      </c>
      <c r="D1864" s="2">
        <v>2358.27</v>
      </c>
      <c r="E1864">
        <v>9</v>
      </c>
      <c r="F1864">
        <v>0.1</v>
      </c>
      <c r="G1864" t="s">
        <v>19</v>
      </c>
      <c r="H1864" t="s">
        <v>15</v>
      </c>
      <c r="I1864" t="s">
        <v>20</v>
      </c>
      <c r="J1864" s="2">
        <f>Table1_1[[#This Row],[Sales]]-Table1_1[[#This Row],[Sales]]*Table1_1[[#This Row],[Discount]]</f>
        <v>2122.4430000000002</v>
      </c>
      <c r="K1864" s="1">
        <v>45250</v>
      </c>
      <c r="L1864" s="11">
        <v>45253</v>
      </c>
      <c r="M1864">
        <f>DATEDIF(Table1_1[[#This Row],[Order Date]],Table1_1[[#This Row],[Ship Date]],"D")</f>
        <v>3</v>
      </c>
    </row>
    <row r="1865" spans="1:13" x14ac:dyDescent="0.35">
      <c r="A1865" t="s">
        <v>2281</v>
      </c>
      <c r="B1865" t="s">
        <v>522</v>
      </c>
      <c r="C1865" t="s">
        <v>341</v>
      </c>
      <c r="D1865" s="2">
        <v>3610.45</v>
      </c>
      <c r="E1865">
        <v>2</v>
      </c>
      <c r="F1865">
        <v>0.2</v>
      </c>
      <c r="G1865" t="s">
        <v>14</v>
      </c>
      <c r="H1865" t="s">
        <v>21</v>
      </c>
      <c r="I1865" t="s">
        <v>16</v>
      </c>
      <c r="J1865" s="2">
        <f>Table1_1[[#This Row],[Sales]]-Table1_1[[#This Row],[Sales]]*Table1_1[[#This Row],[Discount]]</f>
        <v>2888.3599999999997</v>
      </c>
      <c r="K1865" s="1">
        <v>45069</v>
      </c>
      <c r="L1865" s="11">
        <v>45074</v>
      </c>
      <c r="M1865">
        <f>DATEDIF(Table1_1[[#This Row],[Order Date]],Table1_1[[#This Row],[Ship Date]],"D")</f>
        <v>5</v>
      </c>
    </row>
    <row r="1866" spans="1:13" x14ac:dyDescent="0.35">
      <c r="A1866" t="s">
        <v>2282</v>
      </c>
      <c r="B1866" t="s">
        <v>134</v>
      </c>
      <c r="C1866" t="s">
        <v>251</v>
      </c>
      <c r="D1866" s="2">
        <v>2598.1799999999998</v>
      </c>
      <c r="E1866">
        <v>7</v>
      </c>
      <c r="F1866">
        <v>0</v>
      </c>
      <c r="G1866" t="s">
        <v>14</v>
      </c>
      <c r="H1866" t="s">
        <v>21</v>
      </c>
      <c r="I1866" t="s">
        <v>43</v>
      </c>
      <c r="J1866" s="2">
        <f>Table1_1[[#This Row],[Sales]]-Table1_1[[#This Row],[Sales]]*Table1_1[[#This Row],[Discount]]</f>
        <v>2598.1799999999998</v>
      </c>
      <c r="K1866" s="1">
        <v>45535</v>
      </c>
      <c r="L1866" s="11">
        <v>45540</v>
      </c>
      <c r="M1866">
        <f>DATEDIF(Table1_1[[#This Row],[Order Date]],Table1_1[[#This Row],[Ship Date]],"D")</f>
        <v>5</v>
      </c>
    </row>
    <row r="1867" spans="1:13" x14ac:dyDescent="0.35">
      <c r="A1867" t="s">
        <v>2283</v>
      </c>
      <c r="B1867" t="s">
        <v>335</v>
      </c>
      <c r="C1867" t="s">
        <v>726</v>
      </c>
      <c r="D1867" s="2">
        <v>727.73</v>
      </c>
      <c r="E1867">
        <v>8</v>
      </c>
      <c r="F1867">
        <v>0.1</v>
      </c>
      <c r="G1867" t="s">
        <v>14</v>
      </c>
      <c r="H1867" t="s">
        <v>15</v>
      </c>
      <c r="I1867" t="s">
        <v>20</v>
      </c>
      <c r="J1867" s="2">
        <f>Table1_1[[#This Row],[Sales]]-Table1_1[[#This Row],[Sales]]*Table1_1[[#This Row],[Discount]]</f>
        <v>654.95699999999999</v>
      </c>
      <c r="K1867" s="1">
        <v>45702</v>
      </c>
      <c r="L1867" s="11">
        <v>45703</v>
      </c>
      <c r="M1867">
        <f>DATEDIF(Table1_1[[#This Row],[Order Date]],Table1_1[[#This Row],[Ship Date]],"D")</f>
        <v>1</v>
      </c>
    </row>
    <row r="1868" spans="1:13" x14ac:dyDescent="0.35">
      <c r="A1868" t="s">
        <v>2284</v>
      </c>
      <c r="B1868" t="s">
        <v>661</v>
      </c>
      <c r="C1868" t="s">
        <v>354</v>
      </c>
      <c r="D1868" s="2">
        <v>768.66</v>
      </c>
      <c r="E1868">
        <v>7</v>
      </c>
      <c r="F1868">
        <v>0.2</v>
      </c>
      <c r="G1868" t="s">
        <v>14</v>
      </c>
      <c r="H1868" t="s">
        <v>15</v>
      </c>
      <c r="I1868" t="s">
        <v>43</v>
      </c>
      <c r="J1868" s="2">
        <f>Table1_1[[#This Row],[Sales]]-Table1_1[[#This Row],[Sales]]*Table1_1[[#This Row],[Discount]]</f>
        <v>614.928</v>
      </c>
      <c r="K1868" s="1">
        <v>45426</v>
      </c>
      <c r="L1868" s="11">
        <v>45430</v>
      </c>
      <c r="M1868">
        <f>DATEDIF(Table1_1[[#This Row],[Order Date]],Table1_1[[#This Row],[Ship Date]],"D")</f>
        <v>4</v>
      </c>
    </row>
    <row r="1869" spans="1:13" x14ac:dyDescent="0.35">
      <c r="A1869" t="s">
        <v>2285</v>
      </c>
      <c r="B1869" t="s">
        <v>801</v>
      </c>
      <c r="C1869" t="s">
        <v>26</v>
      </c>
      <c r="D1869" s="2">
        <v>4561.8999999999996</v>
      </c>
      <c r="E1869">
        <v>10</v>
      </c>
      <c r="F1869">
        <v>0</v>
      </c>
      <c r="G1869" t="s">
        <v>14</v>
      </c>
      <c r="H1869" t="s">
        <v>21</v>
      </c>
      <c r="I1869" t="s">
        <v>43</v>
      </c>
      <c r="J1869" s="2">
        <f>Table1_1[[#This Row],[Sales]]-Table1_1[[#This Row],[Sales]]*Table1_1[[#This Row],[Discount]]</f>
        <v>4561.8999999999996</v>
      </c>
      <c r="K1869" s="1">
        <v>45628</v>
      </c>
      <c r="L1869" s="11">
        <v>45635</v>
      </c>
      <c r="M1869">
        <f>DATEDIF(Table1_1[[#This Row],[Order Date]],Table1_1[[#This Row],[Ship Date]],"D")</f>
        <v>7</v>
      </c>
    </row>
    <row r="1870" spans="1:13" x14ac:dyDescent="0.35">
      <c r="A1870" t="s">
        <v>2286</v>
      </c>
      <c r="B1870" t="s">
        <v>177</v>
      </c>
      <c r="C1870" t="s">
        <v>13</v>
      </c>
      <c r="D1870" s="2">
        <v>2064.83</v>
      </c>
      <c r="E1870">
        <v>1</v>
      </c>
      <c r="F1870">
        <v>0.1</v>
      </c>
      <c r="G1870" t="s">
        <v>14</v>
      </c>
      <c r="H1870" t="s">
        <v>15</v>
      </c>
      <c r="I1870" t="s">
        <v>16</v>
      </c>
      <c r="J1870" s="2">
        <f>Table1_1[[#This Row],[Sales]]-Table1_1[[#This Row],[Sales]]*Table1_1[[#This Row],[Discount]]</f>
        <v>1858.347</v>
      </c>
      <c r="K1870" s="1">
        <v>45577</v>
      </c>
      <c r="L1870" s="11">
        <v>45583</v>
      </c>
      <c r="M1870">
        <f>DATEDIF(Table1_1[[#This Row],[Order Date]],Table1_1[[#This Row],[Ship Date]],"D")</f>
        <v>6</v>
      </c>
    </row>
    <row r="1871" spans="1:13" x14ac:dyDescent="0.35">
      <c r="A1871" t="s">
        <v>2287</v>
      </c>
      <c r="B1871" t="s">
        <v>550</v>
      </c>
      <c r="C1871" t="s">
        <v>487</v>
      </c>
      <c r="D1871" s="2">
        <v>2381.19</v>
      </c>
      <c r="E1871">
        <v>4</v>
      </c>
      <c r="F1871">
        <v>0.3</v>
      </c>
      <c r="G1871" t="s">
        <v>14</v>
      </c>
      <c r="H1871" t="s">
        <v>21</v>
      </c>
      <c r="I1871" t="s">
        <v>16</v>
      </c>
      <c r="J1871" s="2">
        <f>Table1_1[[#This Row],[Sales]]-Table1_1[[#This Row],[Sales]]*Table1_1[[#This Row],[Discount]]</f>
        <v>1666.8330000000001</v>
      </c>
      <c r="K1871" s="1">
        <v>45193</v>
      </c>
      <c r="L1871" s="11">
        <v>45195</v>
      </c>
      <c r="M1871">
        <f>DATEDIF(Table1_1[[#This Row],[Order Date]],Table1_1[[#This Row],[Ship Date]],"D")</f>
        <v>2</v>
      </c>
    </row>
    <row r="1872" spans="1:13" x14ac:dyDescent="0.35">
      <c r="A1872" t="s">
        <v>2288</v>
      </c>
      <c r="B1872" t="s">
        <v>933</v>
      </c>
      <c r="C1872" t="s">
        <v>91</v>
      </c>
      <c r="D1872" s="2">
        <v>2789.27</v>
      </c>
      <c r="E1872">
        <v>2</v>
      </c>
      <c r="F1872">
        <v>0</v>
      </c>
      <c r="G1872" t="s">
        <v>19</v>
      </c>
      <c r="H1872" t="s">
        <v>21</v>
      </c>
      <c r="I1872" t="s">
        <v>16</v>
      </c>
      <c r="J1872" s="2">
        <f>Table1_1[[#This Row],[Sales]]-Table1_1[[#This Row],[Sales]]*Table1_1[[#This Row],[Discount]]</f>
        <v>2789.27</v>
      </c>
      <c r="K1872" s="1">
        <v>45526</v>
      </c>
      <c r="L1872" s="11">
        <v>45527</v>
      </c>
      <c r="M1872">
        <f>DATEDIF(Table1_1[[#This Row],[Order Date]],Table1_1[[#This Row],[Ship Date]],"D")</f>
        <v>1</v>
      </c>
    </row>
    <row r="1873" spans="1:13" x14ac:dyDescent="0.35">
      <c r="A1873" t="s">
        <v>2289</v>
      </c>
      <c r="B1873" t="s">
        <v>120</v>
      </c>
      <c r="C1873" t="s">
        <v>190</v>
      </c>
      <c r="D1873" s="2">
        <v>4384.96</v>
      </c>
      <c r="E1873">
        <v>3</v>
      </c>
      <c r="F1873">
        <v>0.3</v>
      </c>
      <c r="G1873" t="s">
        <v>19</v>
      </c>
      <c r="H1873" t="s">
        <v>15</v>
      </c>
      <c r="I1873" t="s">
        <v>43</v>
      </c>
      <c r="J1873" s="2">
        <f>Table1_1[[#This Row],[Sales]]-Table1_1[[#This Row],[Sales]]*Table1_1[[#This Row],[Discount]]</f>
        <v>3069.4719999999998</v>
      </c>
      <c r="K1873" s="1">
        <v>45673</v>
      </c>
      <c r="L1873" s="11">
        <v>45679</v>
      </c>
      <c r="M1873">
        <f>DATEDIF(Table1_1[[#This Row],[Order Date]],Table1_1[[#This Row],[Ship Date]],"D")</f>
        <v>6</v>
      </c>
    </row>
    <row r="1874" spans="1:13" x14ac:dyDescent="0.35">
      <c r="A1874" t="s">
        <v>2290</v>
      </c>
      <c r="B1874" t="s">
        <v>288</v>
      </c>
      <c r="C1874" t="s">
        <v>82</v>
      </c>
      <c r="D1874" s="2">
        <v>417.65</v>
      </c>
      <c r="E1874">
        <v>10</v>
      </c>
      <c r="F1874">
        <v>0</v>
      </c>
      <c r="G1874" t="s">
        <v>14</v>
      </c>
      <c r="H1874" t="s">
        <v>15</v>
      </c>
      <c r="I1874" t="s">
        <v>20</v>
      </c>
      <c r="J1874" s="2">
        <f>Table1_1[[#This Row],[Sales]]-Table1_1[[#This Row],[Sales]]*Table1_1[[#This Row],[Discount]]</f>
        <v>417.65</v>
      </c>
      <c r="K1874" s="1">
        <v>45824</v>
      </c>
      <c r="L1874" s="11">
        <v>45826</v>
      </c>
      <c r="M1874">
        <f>DATEDIF(Table1_1[[#This Row],[Order Date]],Table1_1[[#This Row],[Ship Date]],"D")</f>
        <v>2</v>
      </c>
    </row>
    <row r="1875" spans="1:13" x14ac:dyDescent="0.35">
      <c r="A1875" t="s">
        <v>2291</v>
      </c>
      <c r="B1875" t="s">
        <v>67</v>
      </c>
      <c r="C1875" t="s">
        <v>443</v>
      </c>
      <c r="D1875" s="2">
        <v>2086.96</v>
      </c>
      <c r="E1875">
        <v>3</v>
      </c>
      <c r="F1875">
        <v>0.2</v>
      </c>
      <c r="G1875" t="s">
        <v>39</v>
      </c>
      <c r="H1875" t="s">
        <v>15</v>
      </c>
      <c r="I1875" t="s">
        <v>43</v>
      </c>
      <c r="J1875" s="2">
        <f>Table1_1[[#This Row],[Sales]]-Table1_1[[#This Row],[Sales]]*Table1_1[[#This Row],[Discount]]</f>
        <v>1669.568</v>
      </c>
      <c r="K1875" s="1">
        <v>45350</v>
      </c>
      <c r="L1875" s="11">
        <v>45356</v>
      </c>
      <c r="M1875">
        <f>DATEDIF(Table1_1[[#This Row],[Order Date]],Table1_1[[#This Row],[Ship Date]],"D")</f>
        <v>6</v>
      </c>
    </row>
    <row r="1876" spans="1:13" x14ac:dyDescent="0.35">
      <c r="A1876" t="s">
        <v>2292</v>
      </c>
      <c r="B1876" t="s">
        <v>256</v>
      </c>
      <c r="C1876" t="s">
        <v>178</v>
      </c>
      <c r="D1876" s="2">
        <v>412.26</v>
      </c>
      <c r="E1876">
        <v>8</v>
      </c>
      <c r="F1876">
        <v>0</v>
      </c>
      <c r="G1876" t="s">
        <v>14</v>
      </c>
      <c r="H1876" t="s">
        <v>21</v>
      </c>
      <c r="I1876" t="s">
        <v>20</v>
      </c>
      <c r="J1876" s="2">
        <f>Table1_1[[#This Row],[Sales]]-Table1_1[[#This Row],[Sales]]*Table1_1[[#This Row],[Discount]]</f>
        <v>412.26</v>
      </c>
      <c r="K1876" s="1">
        <v>45703</v>
      </c>
      <c r="L1876" s="11">
        <v>45709</v>
      </c>
      <c r="M1876">
        <f>DATEDIF(Table1_1[[#This Row],[Order Date]],Table1_1[[#This Row],[Ship Date]],"D")</f>
        <v>6</v>
      </c>
    </row>
    <row r="1877" spans="1:13" x14ac:dyDescent="0.35">
      <c r="A1877" t="s">
        <v>2293</v>
      </c>
      <c r="B1877" t="s">
        <v>225</v>
      </c>
      <c r="C1877" t="s">
        <v>624</v>
      </c>
      <c r="D1877" s="2">
        <v>2495.1799999999998</v>
      </c>
      <c r="E1877">
        <v>6</v>
      </c>
      <c r="F1877">
        <v>0.1</v>
      </c>
      <c r="G1877" t="s">
        <v>39</v>
      </c>
      <c r="H1877" t="s">
        <v>21</v>
      </c>
      <c r="I1877" t="s">
        <v>43</v>
      </c>
      <c r="J1877" s="2">
        <f>Table1_1[[#This Row],[Sales]]-Table1_1[[#This Row],[Sales]]*Table1_1[[#This Row],[Discount]]</f>
        <v>2245.6619999999998</v>
      </c>
      <c r="K1877" s="1">
        <v>44979</v>
      </c>
      <c r="L1877" s="11">
        <v>44984</v>
      </c>
      <c r="M1877">
        <f>DATEDIF(Table1_1[[#This Row],[Order Date]],Table1_1[[#This Row],[Ship Date]],"D")</f>
        <v>5</v>
      </c>
    </row>
    <row r="1878" spans="1:13" x14ac:dyDescent="0.35">
      <c r="A1878" t="s">
        <v>2294</v>
      </c>
      <c r="B1878" t="s">
        <v>326</v>
      </c>
      <c r="C1878" t="s">
        <v>624</v>
      </c>
      <c r="D1878" s="2">
        <v>2902.44</v>
      </c>
      <c r="E1878">
        <v>1</v>
      </c>
      <c r="F1878">
        <v>0.2</v>
      </c>
      <c r="G1878" t="s">
        <v>14</v>
      </c>
      <c r="H1878" t="s">
        <v>21</v>
      </c>
      <c r="I1878" t="s">
        <v>43</v>
      </c>
      <c r="J1878" s="2">
        <f>Table1_1[[#This Row],[Sales]]-Table1_1[[#This Row],[Sales]]*Table1_1[[#This Row],[Discount]]</f>
        <v>2321.9520000000002</v>
      </c>
      <c r="K1878" s="1">
        <v>44997</v>
      </c>
      <c r="L1878" s="11">
        <v>45000</v>
      </c>
      <c r="M1878">
        <f>DATEDIF(Table1_1[[#This Row],[Order Date]],Table1_1[[#This Row],[Ship Date]],"D")</f>
        <v>3</v>
      </c>
    </row>
    <row r="1879" spans="1:13" x14ac:dyDescent="0.35">
      <c r="A1879" t="s">
        <v>2295</v>
      </c>
      <c r="B1879" t="s">
        <v>322</v>
      </c>
      <c r="C1879" t="s">
        <v>102</v>
      </c>
      <c r="D1879" s="2">
        <v>3459.04</v>
      </c>
      <c r="E1879">
        <v>8</v>
      </c>
      <c r="F1879">
        <v>0</v>
      </c>
      <c r="G1879" t="s">
        <v>14</v>
      </c>
      <c r="H1879" t="s">
        <v>21</v>
      </c>
      <c r="I1879" t="s">
        <v>16</v>
      </c>
      <c r="J1879" s="2">
        <f>Table1_1[[#This Row],[Sales]]-Table1_1[[#This Row],[Sales]]*Table1_1[[#This Row],[Discount]]</f>
        <v>3459.04</v>
      </c>
      <c r="K1879" s="1">
        <v>45171</v>
      </c>
      <c r="L1879" s="11">
        <v>45176</v>
      </c>
      <c r="M1879">
        <f>DATEDIF(Table1_1[[#This Row],[Order Date]],Table1_1[[#This Row],[Ship Date]],"D")</f>
        <v>5</v>
      </c>
    </row>
    <row r="1880" spans="1:13" x14ac:dyDescent="0.35">
      <c r="A1880" t="s">
        <v>2296</v>
      </c>
      <c r="B1880" t="s">
        <v>104</v>
      </c>
      <c r="C1880" t="s">
        <v>163</v>
      </c>
      <c r="D1880" s="2">
        <v>2490.42</v>
      </c>
      <c r="E1880">
        <v>9</v>
      </c>
      <c r="F1880">
        <v>0.2</v>
      </c>
      <c r="G1880" t="s">
        <v>19</v>
      </c>
      <c r="H1880" t="s">
        <v>21</v>
      </c>
      <c r="I1880" t="s">
        <v>20</v>
      </c>
      <c r="J1880" s="2">
        <f>Table1_1[[#This Row],[Sales]]-Table1_1[[#This Row],[Sales]]*Table1_1[[#This Row],[Discount]]</f>
        <v>1992.336</v>
      </c>
      <c r="K1880" s="1">
        <v>45651</v>
      </c>
      <c r="L1880" s="11">
        <v>45657</v>
      </c>
      <c r="M1880">
        <f>DATEDIF(Table1_1[[#This Row],[Order Date]],Table1_1[[#This Row],[Ship Date]],"D")</f>
        <v>6</v>
      </c>
    </row>
    <row r="1881" spans="1:13" x14ac:dyDescent="0.35">
      <c r="A1881" t="s">
        <v>2297</v>
      </c>
      <c r="B1881" t="s">
        <v>627</v>
      </c>
      <c r="C1881" t="s">
        <v>113</v>
      </c>
      <c r="D1881" s="2">
        <v>4858.16</v>
      </c>
      <c r="E1881">
        <v>6</v>
      </c>
      <c r="F1881">
        <v>0.1</v>
      </c>
      <c r="G1881" t="s">
        <v>14</v>
      </c>
      <c r="H1881" t="s">
        <v>15</v>
      </c>
      <c r="I1881" t="s">
        <v>43</v>
      </c>
      <c r="J1881" s="2">
        <f>Table1_1[[#This Row],[Sales]]-Table1_1[[#This Row],[Sales]]*Table1_1[[#This Row],[Discount]]</f>
        <v>4372.3440000000001</v>
      </c>
      <c r="K1881" s="1">
        <v>45163</v>
      </c>
      <c r="L1881" s="11">
        <v>45167</v>
      </c>
      <c r="M1881">
        <f>DATEDIF(Table1_1[[#This Row],[Order Date]],Table1_1[[#This Row],[Ship Date]],"D")</f>
        <v>4</v>
      </c>
    </row>
    <row r="1882" spans="1:13" x14ac:dyDescent="0.35">
      <c r="A1882" t="s">
        <v>2298</v>
      </c>
      <c r="B1882" t="s">
        <v>134</v>
      </c>
      <c r="C1882" t="s">
        <v>99</v>
      </c>
      <c r="D1882" s="2">
        <v>2988.91</v>
      </c>
      <c r="E1882">
        <v>5</v>
      </c>
      <c r="F1882">
        <v>0.3</v>
      </c>
      <c r="G1882" t="s">
        <v>39</v>
      </c>
      <c r="H1882" t="s">
        <v>21</v>
      </c>
      <c r="I1882" t="s">
        <v>43</v>
      </c>
      <c r="J1882" s="2">
        <f>Table1_1[[#This Row],[Sales]]-Table1_1[[#This Row],[Sales]]*Table1_1[[#This Row],[Discount]]</f>
        <v>2092.2370000000001</v>
      </c>
      <c r="K1882" s="1">
        <v>45043</v>
      </c>
      <c r="L1882" s="11">
        <v>45046</v>
      </c>
      <c r="M1882">
        <f>DATEDIF(Table1_1[[#This Row],[Order Date]],Table1_1[[#This Row],[Ship Date]],"D")</f>
        <v>3</v>
      </c>
    </row>
    <row r="1883" spans="1:13" x14ac:dyDescent="0.35">
      <c r="A1883" t="s">
        <v>2299</v>
      </c>
      <c r="B1883" t="s">
        <v>702</v>
      </c>
      <c r="C1883" t="s">
        <v>756</v>
      </c>
      <c r="D1883" s="2">
        <v>4170.4799999999996</v>
      </c>
      <c r="E1883">
        <v>7</v>
      </c>
      <c r="F1883">
        <v>0.2</v>
      </c>
      <c r="G1883" t="s">
        <v>14</v>
      </c>
      <c r="H1883" t="s">
        <v>21</v>
      </c>
      <c r="I1883" t="s">
        <v>16</v>
      </c>
      <c r="J1883" s="2">
        <f>Table1_1[[#This Row],[Sales]]-Table1_1[[#This Row],[Sales]]*Table1_1[[#This Row],[Discount]]</f>
        <v>3336.3839999999996</v>
      </c>
      <c r="K1883" s="1">
        <v>45110</v>
      </c>
      <c r="L1883" s="11">
        <v>45117</v>
      </c>
      <c r="M1883">
        <f>DATEDIF(Table1_1[[#This Row],[Order Date]],Table1_1[[#This Row],[Ship Date]],"D")</f>
        <v>7</v>
      </c>
    </row>
    <row r="1884" spans="1:13" x14ac:dyDescent="0.35">
      <c r="A1884" t="s">
        <v>2300</v>
      </c>
      <c r="B1884" t="s">
        <v>414</v>
      </c>
      <c r="C1884" t="s">
        <v>204</v>
      </c>
      <c r="D1884" s="2">
        <v>1645.12</v>
      </c>
      <c r="E1884">
        <v>3</v>
      </c>
      <c r="F1884">
        <v>0.1</v>
      </c>
      <c r="G1884" t="s">
        <v>19</v>
      </c>
      <c r="H1884" t="s">
        <v>21</v>
      </c>
      <c r="I1884" t="s">
        <v>20</v>
      </c>
      <c r="J1884" s="2">
        <f>Table1_1[[#This Row],[Sales]]-Table1_1[[#This Row],[Sales]]*Table1_1[[#This Row],[Discount]]</f>
        <v>1480.6079999999999</v>
      </c>
      <c r="K1884" s="1">
        <v>45282</v>
      </c>
      <c r="L1884" s="11">
        <v>45285</v>
      </c>
      <c r="M1884">
        <f>DATEDIF(Table1_1[[#This Row],[Order Date]],Table1_1[[#This Row],[Ship Date]],"D")</f>
        <v>3</v>
      </c>
    </row>
    <row r="1885" spans="1:13" x14ac:dyDescent="0.35">
      <c r="A1885" t="s">
        <v>2301</v>
      </c>
      <c r="B1885" t="s">
        <v>1355</v>
      </c>
      <c r="C1885" t="s">
        <v>62</v>
      </c>
      <c r="D1885" s="2">
        <v>3222.06</v>
      </c>
      <c r="E1885">
        <v>2</v>
      </c>
      <c r="F1885">
        <v>0.3</v>
      </c>
      <c r="G1885" t="s">
        <v>39</v>
      </c>
      <c r="H1885" t="s">
        <v>21</v>
      </c>
      <c r="I1885" t="s">
        <v>43</v>
      </c>
      <c r="J1885" s="2">
        <f>Table1_1[[#This Row],[Sales]]-Table1_1[[#This Row],[Sales]]*Table1_1[[#This Row],[Discount]]</f>
        <v>2255.442</v>
      </c>
      <c r="K1885" s="1">
        <v>45524</v>
      </c>
      <c r="L1885" s="11">
        <v>45530</v>
      </c>
      <c r="M1885">
        <f>DATEDIF(Table1_1[[#This Row],[Order Date]],Table1_1[[#This Row],[Ship Date]],"D")</f>
        <v>6</v>
      </c>
    </row>
    <row r="1886" spans="1:13" x14ac:dyDescent="0.35">
      <c r="A1886" t="s">
        <v>2302</v>
      </c>
      <c r="B1886" t="s">
        <v>345</v>
      </c>
      <c r="C1886" t="s">
        <v>450</v>
      </c>
      <c r="D1886" s="2">
        <v>1165.18</v>
      </c>
      <c r="E1886">
        <v>6</v>
      </c>
      <c r="F1886">
        <v>0.2</v>
      </c>
      <c r="G1886" t="s">
        <v>39</v>
      </c>
      <c r="H1886" t="s">
        <v>15</v>
      </c>
      <c r="I1886" t="s">
        <v>16</v>
      </c>
      <c r="J1886" s="2">
        <f>Table1_1[[#This Row],[Sales]]-Table1_1[[#This Row],[Sales]]*Table1_1[[#This Row],[Discount]]</f>
        <v>932.14400000000001</v>
      </c>
      <c r="K1886" s="1">
        <v>45002</v>
      </c>
      <c r="L1886" s="11">
        <v>45008</v>
      </c>
      <c r="M1886">
        <f>DATEDIF(Table1_1[[#This Row],[Order Date]],Table1_1[[#This Row],[Ship Date]],"D")</f>
        <v>6</v>
      </c>
    </row>
    <row r="1887" spans="1:13" x14ac:dyDescent="0.35">
      <c r="A1887" t="s">
        <v>2303</v>
      </c>
      <c r="B1887" t="s">
        <v>835</v>
      </c>
      <c r="C1887" t="s">
        <v>662</v>
      </c>
      <c r="D1887" s="2">
        <v>4400.2700000000004</v>
      </c>
      <c r="E1887">
        <v>6</v>
      </c>
      <c r="F1887">
        <v>0</v>
      </c>
      <c r="G1887" t="s">
        <v>19</v>
      </c>
      <c r="H1887" t="s">
        <v>21</v>
      </c>
      <c r="I1887" t="s">
        <v>16</v>
      </c>
      <c r="J1887" s="2">
        <f>Table1_1[[#This Row],[Sales]]-Table1_1[[#This Row],[Sales]]*Table1_1[[#This Row],[Discount]]</f>
        <v>4400.2700000000004</v>
      </c>
      <c r="K1887" s="1">
        <v>45342</v>
      </c>
      <c r="L1887" s="11">
        <v>45343</v>
      </c>
      <c r="M1887">
        <f>DATEDIF(Table1_1[[#This Row],[Order Date]],Table1_1[[#This Row],[Ship Date]],"D")</f>
        <v>1</v>
      </c>
    </row>
    <row r="1888" spans="1:13" x14ac:dyDescent="0.35">
      <c r="A1888" t="s">
        <v>2304</v>
      </c>
      <c r="B1888" t="s">
        <v>1460</v>
      </c>
      <c r="C1888" t="s">
        <v>143</v>
      </c>
      <c r="D1888" s="2">
        <v>280.58999999999997</v>
      </c>
      <c r="E1888">
        <v>1</v>
      </c>
      <c r="F1888">
        <v>0</v>
      </c>
      <c r="G1888" t="s">
        <v>14</v>
      </c>
      <c r="H1888" t="s">
        <v>15</v>
      </c>
      <c r="I1888" t="s">
        <v>43</v>
      </c>
      <c r="J1888" s="2">
        <f>Table1_1[[#This Row],[Sales]]-Table1_1[[#This Row],[Sales]]*Table1_1[[#This Row],[Discount]]</f>
        <v>280.58999999999997</v>
      </c>
      <c r="K1888" s="1">
        <v>45297</v>
      </c>
      <c r="L1888" s="11">
        <v>45298</v>
      </c>
      <c r="M1888">
        <f>DATEDIF(Table1_1[[#This Row],[Order Date]],Table1_1[[#This Row],[Ship Date]],"D")</f>
        <v>1</v>
      </c>
    </row>
    <row r="1889" spans="1:13" x14ac:dyDescent="0.35">
      <c r="A1889" t="s">
        <v>2305</v>
      </c>
      <c r="B1889" t="s">
        <v>822</v>
      </c>
      <c r="C1889" t="s">
        <v>341</v>
      </c>
      <c r="D1889" s="2">
        <v>1052</v>
      </c>
      <c r="E1889">
        <v>6</v>
      </c>
      <c r="F1889">
        <v>0.1</v>
      </c>
      <c r="G1889" t="s">
        <v>14</v>
      </c>
      <c r="H1889" t="s">
        <v>21</v>
      </c>
      <c r="I1889" t="s">
        <v>20</v>
      </c>
      <c r="J1889" s="2">
        <f>Table1_1[[#This Row],[Sales]]-Table1_1[[#This Row],[Sales]]*Table1_1[[#This Row],[Discount]]</f>
        <v>946.8</v>
      </c>
      <c r="K1889" s="1">
        <v>45683</v>
      </c>
      <c r="L1889" s="11">
        <v>45685</v>
      </c>
      <c r="M1889">
        <f>DATEDIF(Table1_1[[#This Row],[Order Date]],Table1_1[[#This Row],[Ship Date]],"D")</f>
        <v>2</v>
      </c>
    </row>
    <row r="1890" spans="1:13" x14ac:dyDescent="0.35">
      <c r="A1890" t="s">
        <v>2306</v>
      </c>
      <c r="B1890" t="s">
        <v>1398</v>
      </c>
      <c r="C1890" t="s">
        <v>1012</v>
      </c>
      <c r="D1890" s="2">
        <v>3789.26</v>
      </c>
      <c r="E1890">
        <v>9</v>
      </c>
      <c r="F1890">
        <v>0.3</v>
      </c>
      <c r="G1890" t="s">
        <v>14</v>
      </c>
      <c r="H1890" t="s">
        <v>21</v>
      </c>
      <c r="I1890" t="s">
        <v>20</v>
      </c>
      <c r="J1890" s="2">
        <f>Table1_1[[#This Row],[Sales]]-Table1_1[[#This Row],[Sales]]*Table1_1[[#This Row],[Discount]]</f>
        <v>2652.482</v>
      </c>
      <c r="K1890" s="1">
        <v>45179</v>
      </c>
      <c r="L1890" s="11">
        <v>45185</v>
      </c>
      <c r="M1890">
        <f>DATEDIF(Table1_1[[#This Row],[Order Date]],Table1_1[[#This Row],[Ship Date]],"D")</f>
        <v>6</v>
      </c>
    </row>
    <row r="1891" spans="1:13" x14ac:dyDescent="0.35">
      <c r="A1891" t="s">
        <v>2307</v>
      </c>
      <c r="B1891" t="s">
        <v>469</v>
      </c>
      <c r="C1891" t="s">
        <v>662</v>
      </c>
      <c r="D1891" s="2">
        <v>2435.3200000000002</v>
      </c>
      <c r="E1891">
        <v>4</v>
      </c>
      <c r="F1891">
        <v>0.2</v>
      </c>
      <c r="G1891" t="s">
        <v>39</v>
      </c>
      <c r="H1891" t="s">
        <v>21</v>
      </c>
      <c r="I1891" t="s">
        <v>20</v>
      </c>
      <c r="J1891" s="2">
        <f>Table1_1[[#This Row],[Sales]]-Table1_1[[#This Row],[Sales]]*Table1_1[[#This Row],[Discount]]</f>
        <v>1948.2560000000001</v>
      </c>
      <c r="K1891" s="1">
        <v>45465</v>
      </c>
      <c r="L1891" s="11">
        <v>45470</v>
      </c>
      <c r="M1891">
        <f>DATEDIF(Table1_1[[#This Row],[Order Date]],Table1_1[[#This Row],[Ship Date]],"D")</f>
        <v>5</v>
      </c>
    </row>
    <row r="1892" spans="1:13" x14ac:dyDescent="0.35">
      <c r="A1892" t="s">
        <v>2308</v>
      </c>
      <c r="B1892" t="s">
        <v>1166</v>
      </c>
      <c r="C1892" t="s">
        <v>91</v>
      </c>
      <c r="D1892" s="2">
        <v>3823.58</v>
      </c>
      <c r="E1892">
        <v>7</v>
      </c>
      <c r="F1892">
        <v>0.3</v>
      </c>
      <c r="G1892" t="s">
        <v>19</v>
      </c>
      <c r="H1892" t="s">
        <v>21</v>
      </c>
      <c r="I1892" t="s">
        <v>43</v>
      </c>
      <c r="J1892" s="2">
        <f>Table1_1[[#This Row],[Sales]]-Table1_1[[#This Row],[Sales]]*Table1_1[[#This Row],[Discount]]</f>
        <v>2676.5060000000003</v>
      </c>
      <c r="K1892" s="1">
        <v>45791</v>
      </c>
      <c r="L1892" s="11">
        <v>45795</v>
      </c>
      <c r="M1892">
        <f>DATEDIF(Table1_1[[#This Row],[Order Date]],Table1_1[[#This Row],[Ship Date]],"D")</f>
        <v>4</v>
      </c>
    </row>
    <row r="1893" spans="1:13" x14ac:dyDescent="0.35">
      <c r="A1893" t="s">
        <v>2309</v>
      </c>
      <c r="B1893" t="s">
        <v>876</v>
      </c>
      <c r="C1893" t="s">
        <v>268</v>
      </c>
      <c r="D1893" s="2">
        <v>1883.61</v>
      </c>
      <c r="E1893">
        <v>10</v>
      </c>
      <c r="F1893">
        <v>0.1</v>
      </c>
      <c r="G1893" t="s">
        <v>14</v>
      </c>
      <c r="H1893" t="s">
        <v>15</v>
      </c>
      <c r="I1893" t="s">
        <v>16</v>
      </c>
      <c r="J1893" s="2">
        <f>Table1_1[[#This Row],[Sales]]-Table1_1[[#This Row],[Sales]]*Table1_1[[#This Row],[Discount]]</f>
        <v>1695.2489999999998</v>
      </c>
      <c r="K1893" s="1">
        <v>45727</v>
      </c>
      <c r="L1893" s="11">
        <v>45729</v>
      </c>
      <c r="M1893">
        <f>DATEDIF(Table1_1[[#This Row],[Order Date]],Table1_1[[#This Row],[Ship Date]],"D")</f>
        <v>2</v>
      </c>
    </row>
    <row r="1894" spans="1:13" x14ac:dyDescent="0.35">
      <c r="A1894" t="s">
        <v>2310</v>
      </c>
      <c r="B1894" t="s">
        <v>396</v>
      </c>
      <c r="C1894" t="s">
        <v>113</v>
      </c>
      <c r="D1894" s="2">
        <v>832.46</v>
      </c>
      <c r="E1894">
        <v>3</v>
      </c>
      <c r="F1894">
        <v>0.3</v>
      </c>
      <c r="G1894" t="s">
        <v>39</v>
      </c>
      <c r="H1894" t="s">
        <v>21</v>
      </c>
      <c r="I1894" t="s">
        <v>43</v>
      </c>
      <c r="J1894" s="2">
        <f>Table1_1[[#This Row],[Sales]]-Table1_1[[#This Row],[Sales]]*Table1_1[[#This Row],[Discount]]</f>
        <v>582.72199999999998</v>
      </c>
      <c r="K1894" s="1">
        <v>45683</v>
      </c>
      <c r="L1894" s="11">
        <v>45690</v>
      </c>
      <c r="M1894">
        <f>DATEDIF(Table1_1[[#This Row],[Order Date]],Table1_1[[#This Row],[Ship Date]],"D")</f>
        <v>7</v>
      </c>
    </row>
    <row r="1895" spans="1:13" x14ac:dyDescent="0.35">
      <c r="A1895" t="s">
        <v>2311</v>
      </c>
      <c r="B1895" t="s">
        <v>151</v>
      </c>
      <c r="C1895" t="s">
        <v>89</v>
      </c>
      <c r="D1895" s="2">
        <v>3305.25</v>
      </c>
      <c r="E1895">
        <v>8</v>
      </c>
      <c r="F1895">
        <v>0.2</v>
      </c>
      <c r="G1895" t="s">
        <v>14</v>
      </c>
      <c r="H1895" t="s">
        <v>15</v>
      </c>
      <c r="I1895" t="s">
        <v>20</v>
      </c>
      <c r="J1895" s="2">
        <f>Table1_1[[#This Row],[Sales]]-Table1_1[[#This Row],[Sales]]*Table1_1[[#This Row],[Discount]]</f>
        <v>2644.2</v>
      </c>
      <c r="K1895" s="1">
        <v>45030</v>
      </c>
      <c r="L1895" s="11">
        <v>45033</v>
      </c>
      <c r="M1895">
        <f>DATEDIF(Table1_1[[#This Row],[Order Date]],Table1_1[[#This Row],[Ship Date]],"D")</f>
        <v>3</v>
      </c>
    </row>
    <row r="1896" spans="1:13" x14ac:dyDescent="0.35">
      <c r="A1896" t="s">
        <v>2312</v>
      </c>
      <c r="B1896" t="s">
        <v>575</v>
      </c>
      <c r="C1896" t="s">
        <v>231</v>
      </c>
      <c r="D1896" s="2">
        <v>2274.27</v>
      </c>
      <c r="E1896">
        <v>4</v>
      </c>
      <c r="F1896">
        <v>0</v>
      </c>
      <c r="G1896" t="s">
        <v>14</v>
      </c>
      <c r="H1896" t="s">
        <v>21</v>
      </c>
      <c r="I1896" t="s">
        <v>43</v>
      </c>
      <c r="J1896" s="2">
        <f>Table1_1[[#This Row],[Sales]]-Table1_1[[#This Row],[Sales]]*Table1_1[[#This Row],[Discount]]</f>
        <v>2274.27</v>
      </c>
      <c r="K1896" s="1">
        <v>45002</v>
      </c>
      <c r="L1896" s="11">
        <v>45009</v>
      </c>
      <c r="M1896">
        <f>DATEDIF(Table1_1[[#This Row],[Order Date]],Table1_1[[#This Row],[Ship Date]],"D")</f>
        <v>7</v>
      </c>
    </row>
    <row r="1897" spans="1:13" x14ac:dyDescent="0.35">
      <c r="A1897" t="s">
        <v>2313</v>
      </c>
      <c r="B1897" t="s">
        <v>1089</v>
      </c>
      <c r="C1897" t="s">
        <v>13</v>
      </c>
      <c r="D1897" s="2">
        <v>4611.5</v>
      </c>
      <c r="E1897">
        <v>9</v>
      </c>
      <c r="F1897">
        <v>0.2</v>
      </c>
      <c r="G1897" t="s">
        <v>14</v>
      </c>
      <c r="H1897" t="s">
        <v>15</v>
      </c>
      <c r="I1897" t="s">
        <v>16</v>
      </c>
      <c r="J1897" s="2">
        <f>Table1_1[[#This Row],[Sales]]-Table1_1[[#This Row],[Sales]]*Table1_1[[#This Row],[Discount]]</f>
        <v>3689.2</v>
      </c>
      <c r="K1897" s="1">
        <v>45658</v>
      </c>
      <c r="L1897" s="11">
        <v>45662</v>
      </c>
      <c r="M1897">
        <f>DATEDIF(Table1_1[[#This Row],[Order Date]],Table1_1[[#This Row],[Ship Date]],"D")</f>
        <v>4</v>
      </c>
    </row>
    <row r="1898" spans="1:13" x14ac:dyDescent="0.35">
      <c r="A1898" t="s">
        <v>2314</v>
      </c>
      <c r="B1898" t="s">
        <v>842</v>
      </c>
      <c r="C1898" t="s">
        <v>148</v>
      </c>
      <c r="D1898" s="2">
        <v>638.11</v>
      </c>
      <c r="E1898">
        <v>5</v>
      </c>
      <c r="F1898">
        <v>0.3</v>
      </c>
      <c r="G1898" t="s">
        <v>39</v>
      </c>
      <c r="H1898" t="s">
        <v>15</v>
      </c>
      <c r="I1898" t="s">
        <v>43</v>
      </c>
      <c r="J1898" s="2">
        <f>Table1_1[[#This Row],[Sales]]-Table1_1[[#This Row],[Sales]]*Table1_1[[#This Row],[Discount]]</f>
        <v>446.67700000000002</v>
      </c>
      <c r="K1898" s="1">
        <v>45600</v>
      </c>
      <c r="L1898" s="11">
        <v>45601</v>
      </c>
      <c r="M1898">
        <f>DATEDIF(Table1_1[[#This Row],[Order Date]],Table1_1[[#This Row],[Ship Date]],"D")</f>
        <v>1</v>
      </c>
    </row>
    <row r="1899" spans="1:13" x14ac:dyDescent="0.35">
      <c r="A1899" t="s">
        <v>2315</v>
      </c>
      <c r="B1899" t="s">
        <v>168</v>
      </c>
      <c r="C1899" t="s">
        <v>262</v>
      </c>
      <c r="D1899" s="2">
        <v>4035.04</v>
      </c>
      <c r="E1899">
        <v>10</v>
      </c>
      <c r="F1899">
        <v>0</v>
      </c>
      <c r="G1899" t="s">
        <v>19</v>
      </c>
      <c r="H1899" t="s">
        <v>15</v>
      </c>
      <c r="I1899" t="s">
        <v>16</v>
      </c>
      <c r="J1899" s="2">
        <f>Table1_1[[#This Row],[Sales]]-Table1_1[[#This Row],[Sales]]*Table1_1[[#This Row],[Discount]]</f>
        <v>4035.04</v>
      </c>
      <c r="K1899" s="1">
        <v>45545</v>
      </c>
      <c r="L1899" s="11">
        <v>45548</v>
      </c>
      <c r="M1899">
        <f>DATEDIF(Table1_1[[#This Row],[Order Date]],Table1_1[[#This Row],[Ship Date]],"D")</f>
        <v>3</v>
      </c>
    </row>
    <row r="1900" spans="1:13" x14ac:dyDescent="0.35">
      <c r="A1900" t="s">
        <v>2316</v>
      </c>
      <c r="B1900" t="s">
        <v>691</v>
      </c>
      <c r="C1900" t="s">
        <v>152</v>
      </c>
      <c r="D1900" s="2">
        <v>4602.6099999999997</v>
      </c>
      <c r="E1900">
        <v>5</v>
      </c>
      <c r="F1900">
        <v>0</v>
      </c>
      <c r="G1900" t="s">
        <v>39</v>
      </c>
      <c r="H1900" t="s">
        <v>21</v>
      </c>
      <c r="I1900" t="s">
        <v>43</v>
      </c>
      <c r="J1900" s="2">
        <f>Table1_1[[#This Row],[Sales]]-Table1_1[[#This Row],[Sales]]*Table1_1[[#This Row],[Discount]]</f>
        <v>4602.6099999999997</v>
      </c>
      <c r="K1900" s="1">
        <v>45738</v>
      </c>
      <c r="L1900" s="11">
        <v>45741</v>
      </c>
      <c r="M1900">
        <f>DATEDIF(Table1_1[[#This Row],[Order Date]],Table1_1[[#This Row],[Ship Date]],"D")</f>
        <v>3</v>
      </c>
    </row>
    <row r="1901" spans="1:13" x14ac:dyDescent="0.35">
      <c r="A1901" t="s">
        <v>2317</v>
      </c>
      <c r="B1901" t="s">
        <v>253</v>
      </c>
      <c r="C1901" t="s">
        <v>125</v>
      </c>
      <c r="D1901" s="2">
        <v>4013.92</v>
      </c>
      <c r="E1901">
        <v>5</v>
      </c>
      <c r="F1901">
        <v>0.1</v>
      </c>
      <c r="G1901" t="s">
        <v>14</v>
      </c>
      <c r="H1901" t="s">
        <v>21</v>
      </c>
      <c r="I1901" t="s">
        <v>43</v>
      </c>
      <c r="J1901" s="2">
        <f>Table1_1[[#This Row],[Sales]]-Table1_1[[#This Row],[Sales]]*Table1_1[[#This Row],[Discount]]</f>
        <v>3612.5280000000002</v>
      </c>
      <c r="K1901" s="1">
        <v>44944</v>
      </c>
      <c r="L1901" s="11">
        <v>44951</v>
      </c>
      <c r="M1901">
        <f>DATEDIF(Table1_1[[#This Row],[Order Date]],Table1_1[[#This Row],[Ship Date]],"D")</f>
        <v>7</v>
      </c>
    </row>
    <row r="1902" spans="1:13" x14ac:dyDescent="0.35">
      <c r="A1902" t="s">
        <v>2318</v>
      </c>
      <c r="B1902" t="s">
        <v>52</v>
      </c>
      <c r="C1902" t="s">
        <v>34</v>
      </c>
      <c r="D1902" s="2">
        <v>3717.65</v>
      </c>
      <c r="E1902">
        <v>6</v>
      </c>
      <c r="F1902">
        <v>0.1</v>
      </c>
      <c r="G1902" t="s">
        <v>19</v>
      </c>
      <c r="H1902" t="s">
        <v>15</v>
      </c>
      <c r="I1902" t="s">
        <v>20</v>
      </c>
      <c r="J1902" s="2">
        <f>Table1_1[[#This Row],[Sales]]-Table1_1[[#This Row],[Sales]]*Table1_1[[#This Row],[Discount]]</f>
        <v>3345.8850000000002</v>
      </c>
      <c r="K1902" s="1">
        <v>45653</v>
      </c>
      <c r="L1902" s="11">
        <v>45655</v>
      </c>
      <c r="M1902">
        <f>DATEDIF(Table1_1[[#This Row],[Order Date]],Table1_1[[#This Row],[Ship Date]],"D")</f>
        <v>2</v>
      </c>
    </row>
    <row r="1903" spans="1:13" x14ac:dyDescent="0.35">
      <c r="A1903" t="s">
        <v>2319</v>
      </c>
      <c r="B1903" t="s">
        <v>28</v>
      </c>
      <c r="C1903" t="s">
        <v>185</v>
      </c>
      <c r="D1903" s="2">
        <v>3188.02</v>
      </c>
      <c r="E1903">
        <v>7</v>
      </c>
      <c r="F1903">
        <v>0.1</v>
      </c>
      <c r="G1903" t="s">
        <v>39</v>
      </c>
      <c r="H1903" t="s">
        <v>21</v>
      </c>
      <c r="I1903" t="s">
        <v>43</v>
      </c>
      <c r="J1903" s="2">
        <f>Table1_1[[#This Row],[Sales]]-Table1_1[[#This Row],[Sales]]*Table1_1[[#This Row],[Discount]]</f>
        <v>2869.2179999999998</v>
      </c>
      <c r="K1903" s="1">
        <v>44996</v>
      </c>
      <c r="L1903" s="11">
        <v>44998</v>
      </c>
      <c r="M1903">
        <f>DATEDIF(Table1_1[[#This Row],[Order Date]],Table1_1[[#This Row],[Ship Date]],"D")</f>
        <v>2</v>
      </c>
    </row>
    <row r="1904" spans="1:13" x14ac:dyDescent="0.35">
      <c r="A1904" t="s">
        <v>2320</v>
      </c>
      <c r="B1904" t="s">
        <v>559</v>
      </c>
      <c r="C1904" t="s">
        <v>31</v>
      </c>
      <c r="D1904" s="2">
        <v>957.17</v>
      </c>
      <c r="E1904">
        <v>10</v>
      </c>
      <c r="F1904">
        <v>0.2</v>
      </c>
      <c r="G1904" t="s">
        <v>14</v>
      </c>
      <c r="H1904" t="s">
        <v>21</v>
      </c>
      <c r="I1904" t="s">
        <v>20</v>
      </c>
      <c r="J1904" s="2">
        <f>Table1_1[[#This Row],[Sales]]-Table1_1[[#This Row],[Sales]]*Table1_1[[#This Row],[Discount]]</f>
        <v>765.73599999999999</v>
      </c>
      <c r="K1904" s="1">
        <v>45281</v>
      </c>
      <c r="L1904" s="11">
        <v>45282</v>
      </c>
      <c r="M1904">
        <f>DATEDIF(Table1_1[[#This Row],[Order Date]],Table1_1[[#This Row],[Ship Date]],"D")</f>
        <v>1</v>
      </c>
    </row>
    <row r="1905" spans="1:13" x14ac:dyDescent="0.35">
      <c r="A1905" t="s">
        <v>2321</v>
      </c>
      <c r="B1905" t="s">
        <v>394</v>
      </c>
      <c r="C1905" t="s">
        <v>291</v>
      </c>
      <c r="D1905" s="2">
        <v>879.8</v>
      </c>
      <c r="E1905">
        <v>8</v>
      </c>
      <c r="F1905">
        <v>0.2</v>
      </c>
      <c r="G1905" t="s">
        <v>19</v>
      </c>
      <c r="H1905" t="s">
        <v>15</v>
      </c>
      <c r="I1905" t="s">
        <v>20</v>
      </c>
      <c r="J1905" s="2">
        <f>Table1_1[[#This Row],[Sales]]-Table1_1[[#This Row],[Sales]]*Table1_1[[#This Row],[Discount]]</f>
        <v>703.83999999999992</v>
      </c>
      <c r="K1905" s="1">
        <v>45476</v>
      </c>
      <c r="L1905" s="11">
        <v>45480</v>
      </c>
      <c r="M1905">
        <f>DATEDIF(Table1_1[[#This Row],[Order Date]],Table1_1[[#This Row],[Ship Date]],"D")</f>
        <v>4</v>
      </c>
    </row>
    <row r="1906" spans="1:13" x14ac:dyDescent="0.35">
      <c r="A1906" t="s">
        <v>2322</v>
      </c>
      <c r="B1906" t="s">
        <v>33</v>
      </c>
      <c r="C1906" t="s">
        <v>99</v>
      </c>
      <c r="D1906" s="2">
        <v>4732.72</v>
      </c>
      <c r="E1906">
        <v>7</v>
      </c>
      <c r="F1906">
        <v>0</v>
      </c>
      <c r="G1906" t="s">
        <v>14</v>
      </c>
      <c r="H1906" t="s">
        <v>21</v>
      </c>
      <c r="I1906" t="s">
        <v>20</v>
      </c>
      <c r="J1906" s="2">
        <f>Table1_1[[#This Row],[Sales]]-Table1_1[[#This Row],[Sales]]*Table1_1[[#This Row],[Discount]]</f>
        <v>4732.72</v>
      </c>
      <c r="K1906" s="1">
        <v>45162</v>
      </c>
      <c r="L1906" s="11">
        <v>45169</v>
      </c>
      <c r="M1906">
        <f>DATEDIF(Table1_1[[#This Row],[Order Date]],Table1_1[[#This Row],[Ship Date]],"D")</f>
        <v>7</v>
      </c>
    </row>
    <row r="1907" spans="1:13" x14ac:dyDescent="0.35">
      <c r="A1907" t="s">
        <v>2323</v>
      </c>
      <c r="B1907" t="s">
        <v>124</v>
      </c>
      <c r="C1907" t="s">
        <v>565</v>
      </c>
      <c r="D1907" s="2">
        <v>845.8</v>
      </c>
      <c r="E1907">
        <v>9</v>
      </c>
      <c r="F1907">
        <v>0.1</v>
      </c>
      <c r="G1907" t="s">
        <v>19</v>
      </c>
      <c r="H1907" t="s">
        <v>21</v>
      </c>
      <c r="I1907" t="s">
        <v>20</v>
      </c>
      <c r="J1907" s="2">
        <f>Table1_1[[#This Row],[Sales]]-Table1_1[[#This Row],[Sales]]*Table1_1[[#This Row],[Discount]]</f>
        <v>761.21999999999991</v>
      </c>
      <c r="K1907" s="1">
        <v>45264</v>
      </c>
      <c r="L1907" s="11">
        <v>45268</v>
      </c>
      <c r="M1907">
        <f>DATEDIF(Table1_1[[#This Row],[Order Date]],Table1_1[[#This Row],[Ship Date]],"D")</f>
        <v>4</v>
      </c>
    </row>
    <row r="1908" spans="1:13" x14ac:dyDescent="0.35">
      <c r="A1908" t="s">
        <v>2324</v>
      </c>
      <c r="B1908" t="s">
        <v>120</v>
      </c>
      <c r="C1908" t="s">
        <v>318</v>
      </c>
      <c r="D1908" s="2">
        <v>1088.68</v>
      </c>
      <c r="E1908">
        <v>6</v>
      </c>
      <c r="F1908">
        <v>0.2</v>
      </c>
      <c r="G1908" t="s">
        <v>39</v>
      </c>
      <c r="H1908" t="s">
        <v>15</v>
      </c>
      <c r="I1908" t="s">
        <v>43</v>
      </c>
      <c r="J1908" s="2">
        <f>Table1_1[[#This Row],[Sales]]-Table1_1[[#This Row],[Sales]]*Table1_1[[#This Row],[Discount]]</f>
        <v>870.94400000000007</v>
      </c>
      <c r="K1908" s="1">
        <v>45011</v>
      </c>
      <c r="L1908" s="11">
        <v>45012</v>
      </c>
      <c r="M1908">
        <f>DATEDIF(Table1_1[[#This Row],[Order Date]],Table1_1[[#This Row],[Ship Date]],"D")</f>
        <v>1</v>
      </c>
    </row>
    <row r="1909" spans="1:13" x14ac:dyDescent="0.35">
      <c r="A1909" t="s">
        <v>2325</v>
      </c>
      <c r="B1909" t="s">
        <v>812</v>
      </c>
      <c r="C1909" t="s">
        <v>146</v>
      </c>
      <c r="D1909" s="2">
        <v>3835.11</v>
      </c>
      <c r="E1909">
        <v>8</v>
      </c>
      <c r="F1909">
        <v>0.1</v>
      </c>
      <c r="G1909" t="s">
        <v>14</v>
      </c>
      <c r="H1909" t="s">
        <v>21</v>
      </c>
      <c r="I1909" t="s">
        <v>20</v>
      </c>
      <c r="J1909" s="2">
        <f>Table1_1[[#This Row],[Sales]]-Table1_1[[#This Row],[Sales]]*Table1_1[[#This Row],[Discount]]</f>
        <v>3451.5990000000002</v>
      </c>
      <c r="K1909" s="1">
        <v>45053</v>
      </c>
      <c r="L1909" s="11">
        <v>45060</v>
      </c>
      <c r="M1909">
        <f>DATEDIF(Table1_1[[#This Row],[Order Date]],Table1_1[[#This Row],[Ship Date]],"D")</f>
        <v>7</v>
      </c>
    </row>
    <row r="1910" spans="1:13" x14ac:dyDescent="0.35">
      <c r="A1910" t="s">
        <v>2326</v>
      </c>
      <c r="B1910" t="s">
        <v>424</v>
      </c>
      <c r="C1910" t="s">
        <v>318</v>
      </c>
      <c r="D1910" s="2">
        <v>3134.74</v>
      </c>
      <c r="E1910">
        <v>7</v>
      </c>
      <c r="F1910">
        <v>0.3</v>
      </c>
      <c r="G1910" t="s">
        <v>39</v>
      </c>
      <c r="H1910" t="s">
        <v>21</v>
      </c>
      <c r="I1910" t="s">
        <v>16</v>
      </c>
      <c r="J1910" s="2">
        <f>Table1_1[[#This Row],[Sales]]-Table1_1[[#This Row],[Sales]]*Table1_1[[#This Row],[Discount]]</f>
        <v>2194.3179999999998</v>
      </c>
      <c r="K1910" s="1">
        <v>45266</v>
      </c>
      <c r="L1910" s="11">
        <v>45271</v>
      </c>
      <c r="M1910">
        <f>DATEDIF(Table1_1[[#This Row],[Order Date]],Table1_1[[#This Row],[Ship Date]],"D")</f>
        <v>5</v>
      </c>
    </row>
    <row r="1911" spans="1:13" x14ac:dyDescent="0.35">
      <c r="A1911" t="s">
        <v>2327</v>
      </c>
      <c r="B1911" t="s">
        <v>280</v>
      </c>
      <c r="C1911" t="s">
        <v>388</v>
      </c>
      <c r="D1911" s="2">
        <v>2356.36</v>
      </c>
      <c r="E1911">
        <v>2</v>
      </c>
      <c r="F1911">
        <v>0</v>
      </c>
      <c r="G1911" t="s">
        <v>19</v>
      </c>
      <c r="H1911" t="s">
        <v>15</v>
      </c>
      <c r="I1911" t="s">
        <v>43</v>
      </c>
      <c r="J1911" s="2">
        <f>Table1_1[[#This Row],[Sales]]-Table1_1[[#This Row],[Sales]]*Table1_1[[#This Row],[Discount]]</f>
        <v>2356.36</v>
      </c>
      <c r="K1911" s="1">
        <v>45804</v>
      </c>
      <c r="L1911" s="11">
        <v>45809</v>
      </c>
      <c r="M1911">
        <f>DATEDIF(Table1_1[[#This Row],[Order Date]],Table1_1[[#This Row],[Ship Date]],"D")</f>
        <v>5</v>
      </c>
    </row>
    <row r="1912" spans="1:13" x14ac:dyDescent="0.35">
      <c r="A1912" t="s">
        <v>2328</v>
      </c>
      <c r="B1912" t="s">
        <v>120</v>
      </c>
      <c r="C1912" t="s">
        <v>359</v>
      </c>
      <c r="D1912" s="2">
        <v>3440.47</v>
      </c>
      <c r="E1912">
        <v>2</v>
      </c>
      <c r="F1912">
        <v>0</v>
      </c>
      <c r="G1912" t="s">
        <v>39</v>
      </c>
      <c r="H1912" t="s">
        <v>21</v>
      </c>
      <c r="I1912" t="s">
        <v>16</v>
      </c>
      <c r="J1912" s="2">
        <f>Table1_1[[#This Row],[Sales]]-Table1_1[[#This Row],[Sales]]*Table1_1[[#This Row],[Discount]]</f>
        <v>3440.47</v>
      </c>
      <c r="K1912" s="1">
        <v>45136</v>
      </c>
      <c r="L1912" s="11">
        <v>45143</v>
      </c>
      <c r="M1912">
        <f>DATEDIF(Table1_1[[#This Row],[Order Date]],Table1_1[[#This Row],[Ship Date]],"D")</f>
        <v>7</v>
      </c>
    </row>
    <row r="1913" spans="1:13" x14ac:dyDescent="0.35">
      <c r="A1913" t="s">
        <v>2329</v>
      </c>
      <c r="B1913" t="s">
        <v>817</v>
      </c>
      <c r="C1913" t="s">
        <v>336</v>
      </c>
      <c r="D1913" s="2">
        <v>2430.44</v>
      </c>
      <c r="E1913">
        <v>8</v>
      </c>
      <c r="F1913">
        <v>0.1</v>
      </c>
      <c r="G1913" t="s">
        <v>39</v>
      </c>
      <c r="H1913" t="s">
        <v>15</v>
      </c>
      <c r="I1913" t="s">
        <v>16</v>
      </c>
      <c r="J1913" s="2">
        <f>Table1_1[[#This Row],[Sales]]-Table1_1[[#This Row],[Sales]]*Table1_1[[#This Row],[Discount]]</f>
        <v>2187.3960000000002</v>
      </c>
      <c r="K1913" s="1">
        <v>45071</v>
      </c>
      <c r="L1913" s="11">
        <v>45072</v>
      </c>
      <c r="M1913">
        <f>DATEDIF(Table1_1[[#This Row],[Order Date]],Table1_1[[#This Row],[Ship Date]],"D")</f>
        <v>1</v>
      </c>
    </row>
    <row r="1914" spans="1:13" x14ac:dyDescent="0.35">
      <c r="A1914" t="s">
        <v>2330</v>
      </c>
      <c r="B1914" t="s">
        <v>498</v>
      </c>
      <c r="C1914" t="s">
        <v>31</v>
      </c>
      <c r="D1914" s="2">
        <v>1395.84</v>
      </c>
      <c r="E1914">
        <v>9</v>
      </c>
      <c r="F1914">
        <v>0.3</v>
      </c>
      <c r="G1914" t="s">
        <v>19</v>
      </c>
      <c r="H1914" t="s">
        <v>21</v>
      </c>
      <c r="I1914" t="s">
        <v>16</v>
      </c>
      <c r="J1914" s="2">
        <f>Table1_1[[#This Row],[Sales]]-Table1_1[[#This Row],[Sales]]*Table1_1[[#This Row],[Discount]]</f>
        <v>977.08799999999997</v>
      </c>
      <c r="K1914" s="1">
        <v>45253</v>
      </c>
      <c r="L1914" s="11">
        <v>45255</v>
      </c>
      <c r="M1914">
        <f>DATEDIF(Table1_1[[#This Row],[Order Date]],Table1_1[[#This Row],[Ship Date]],"D")</f>
        <v>2</v>
      </c>
    </row>
    <row r="1915" spans="1:13" x14ac:dyDescent="0.35">
      <c r="A1915" t="s">
        <v>2331</v>
      </c>
      <c r="B1915" t="s">
        <v>414</v>
      </c>
      <c r="C1915" t="s">
        <v>384</v>
      </c>
      <c r="D1915" s="2">
        <v>1772.82</v>
      </c>
      <c r="E1915">
        <v>6</v>
      </c>
      <c r="F1915">
        <v>0</v>
      </c>
      <c r="G1915" t="s">
        <v>14</v>
      </c>
      <c r="H1915" t="s">
        <v>21</v>
      </c>
      <c r="I1915" t="s">
        <v>43</v>
      </c>
      <c r="J1915" s="2">
        <f>Table1_1[[#This Row],[Sales]]-Table1_1[[#This Row],[Sales]]*Table1_1[[#This Row],[Discount]]</f>
        <v>1772.82</v>
      </c>
      <c r="K1915" s="1">
        <v>45200</v>
      </c>
      <c r="L1915" s="11">
        <v>45207</v>
      </c>
      <c r="M1915">
        <f>DATEDIF(Table1_1[[#This Row],[Order Date]],Table1_1[[#This Row],[Ship Date]],"D")</f>
        <v>7</v>
      </c>
    </row>
    <row r="1916" spans="1:13" x14ac:dyDescent="0.35">
      <c r="A1916" t="s">
        <v>2332</v>
      </c>
      <c r="B1916" t="s">
        <v>59</v>
      </c>
      <c r="C1916" t="s">
        <v>443</v>
      </c>
      <c r="D1916" s="2">
        <v>4466.67</v>
      </c>
      <c r="E1916">
        <v>3</v>
      </c>
      <c r="F1916">
        <v>0</v>
      </c>
      <c r="G1916" t="s">
        <v>14</v>
      </c>
      <c r="H1916" t="s">
        <v>21</v>
      </c>
      <c r="I1916" t="s">
        <v>16</v>
      </c>
      <c r="J1916" s="2">
        <f>Table1_1[[#This Row],[Sales]]-Table1_1[[#This Row],[Sales]]*Table1_1[[#This Row],[Discount]]</f>
        <v>4466.67</v>
      </c>
      <c r="K1916" s="1">
        <v>45427</v>
      </c>
      <c r="L1916" s="11">
        <v>45431</v>
      </c>
      <c r="M1916">
        <f>DATEDIF(Table1_1[[#This Row],[Order Date]],Table1_1[[#This Row],[Ship Date]],"D")</f>
        <v>4</v>
      </c>
    </row>
    <row r="1917" spans="1:13" x14ac:dyDescent="0.35">
      <c r="A1917" t="s">
        <v>2333</v>
      </c>
      <c r="B1917" t="s">
        <v>986</v>
      </c>
      <c r="C1917" t="s">
        <v>152</v>
      </c>
      <c r="D1917" s="2">
        <v>785.3</v>
      </c>
      <c r="E1917">
        <v>2</v>
      </c>
      <c r="F1917">
        <v>0.3</v>
      </c>
      <c r="G1917" t="s">
        <v>39</v>
      </c>
      <c r="H1917" t="s">
        <v>21</v>
      </c>
      <c r="I1917" t="s">
        <v>16</v>
      </c>
      <c r="J1917" s="2">
        <f>Table1_1[[#This Row],[Sales]]-Table1_1[[#This Row],[Sales]]*Table1_1[[#This Row],[Discount]]</f>
        <v>549.71</v>
      </c>
      <c r="K1917" s="1">
        <v>45679</v>
      </c>
      <c r="L1917" s="11">
        <v>45684</v>
      </c>
      <c r="M1917">
        <f>DATEDIF(Table1_1[[#This Row],[Order Date]],Table1_1[[#This Row],[Ship Date]],"D")</f>
        <v>5</v>
      </c>
    </row>
    <row r="1918" spans="1:13" x14ac:dyDescent="0.35">
      <c r="A1918" t="s">
        <v>2334</v>
      </c>
      <c r="B1918" t="s">
        <v>655</v>
      </c>
      <c r="C1918" t="s">
        <v>175</v>
      </c>
      <c r="D1918" s="2">
        <v>1876.65</v>
      </c>
      <c r="E1918">
        <v>3</v>
      </c>
      <c r="F1918">
        <v>0.1</v>
      </c>
      <c r="G1918" t="s">
        <v>14</v>
      </c>
      <c r="H1918" t="s">
        <v>21</v>
      </c>
      <c r="I1918" t="s">
        <v>43</v>
      </c>
      <c r="J1918" s="2">
        <f>Table1_1[[#This Row],[Sales]]-Table1_1[[#This Row],[Sales]]*Table1_1[[#This Row],[Discount]]</f>
        <v>1688.9850000000001</v>
      </c>
      <c r="K1918" s="1">
        <v>45671</v>
      </c>
      <c r="L1918" s="11">
        <v>45675</v>
      </c>
      <c r="M1918">
        <f>DATEDIF(Table1_1[[#This Row],[Order Date]],Table1_1[[#This Row],[Ship Date]],"D")</f>
        <v>4</v>
      </c>
    </row>
    <row r="1919" spans="1:13" x14ac:dyDescent="0.35">
      <c r="A1919" t="s">
        <v>2335</v>
      </c>
      <c r="B1919" t="s">
        <v>652</v>
      </c>
      <c r="C1919" t="s">
        <v>1012</v>
      </c>
      <c r="D1919" s="2">
        <v>743.91</v>
      </c>
      <c r="E1919">
        <v>10</v>
      </c>
      <c r="F1919">
        <v>0.1</v>
      </c>
      <c r="G1919" t="s">
        <v>14</v>
      </c>
      <c r="H1919" t="s">
        <v>15</v>
      </c>
      <c r="I1919" t="s">
        <v>43</v>
      </c>
      <c r="J1919" s="2">
        <f>Table1_1[[#This Row],[Sales]]-Table1_1[[#This Row],[Sales]]*Table1_1[[#This Row],[Discount]]</f>
        <v>669.51900000000001</v>
      </c>
      <c r="K1919" s="1">
        <v>45645</v>
      </c>
      <c r="L1919" s="11">
        <v>45647</v>
      </c>
      <c r="M1919">
        <f>DATEDIF(Table1_1[[#This Row],[Order Date]],Table1_1[[#This Row],[Ship Date]],"D")</f>
        <v>2</v>
      </c>
    </row>
    <row r="1920" spans="1:13" x14ac:dyDescent="0.35">
      <c r="A1920" t="s">
        <v>2336</v>
      </c>
      <c r="B1920" t="s">
        <v>225</v>
      </c>
      <c r="C1920" t="s">
        <v>229</v>
      </c>
      <c r="D1920" s="2">
        <v>2735.39</v>
      </c>
      <c r="E1920">
        <v>8</v>
      </c>
      <c r="F1920">
        <v>0.1</v>
      </c>
      <c r="G1920" t="s">
        <v>19</v>
      </c>
      <c r="H1920" t="s">
        <v>15</v>
      </c>
      <c r="I1920" t="s">
        <v>20</v>
      </c>
      <c r="J1920" s="2">
        <f>Table1_1[[#This Row],[Sales]]-Table1_1[[#This Row],[Sales]]*Table1_1[[#This Row],[Discount]]</f>
        <v>2461.8509999999997</v>
      </c>
      <c r="K1920" s="1">
        <v>45418</v>
      </c>
      <c r="L1920" s="11">
        <v>45425</v>
      </c>
      <c r="M1920">
        <f>DATEDIF(Table1_1[[#This Row],[Order Date]],Table1_1[[#This Row],[Ship Date]],"D")</f>
        <v>7</v>
      </c>
    </row>
    <row r="1921" spans="1:13" x14ac:dyDescent="0.35">
      <c r="A1921" t="s">
        <v>2337</v>
      </c>
      <c r="B1921" t="s">
        <v>822</v>
      </c>
      <c r="C1921" t="s">
        <v>408</v>
      </c>
      <c r="D1921" s="2">
        <v>1520.66</v>
      </c>
      <c r="E1921">
        <v>7</v>
      </c>
      <c r="F1921">
        <v>0.1</v>
      </c>
      <c r="G1921" t="s">
        <v>14</v>
      </c>
      <c r="H1921" t="s">
        <v>15</v>
      </c>
      <c r="I1921" t="s">
        <v>43</v>
      </c>
      <c r="J1921" s="2">
        <f>Table1_1[[#This Row],[Sales]]-Table1_1[[#This Row],[Sales]]*Table1_1[[#This Row],[Discount]]</f>
        <v>1368.5940000000001</v>
      </c>
      <c r="K1921" s="1">
        <v>44998</v>
      </c>
      <c r="L1921" s="11">
        <v>45001</v>
      </c>
      <c r="M1921">
        <f>DATEDIF(Table1_1[[#This Row],[Order Date]],Table1_1[[#This Row],[Ship Date]],"D")</f>
        <v>3</v>
      </c>
    </row>
    <row r="1922" spans="1:13" x14ac:dyDescent="0.35">
      <c r="A1922" t="s">
        <v>2338</v>
      </c>
      <c r="B1922" t="s">
        <v>652</v>
      </c>
      <c r="C1922" t="s">
        <v>128</v>
      </c>
      <c r="D1922" s="2">
        <v>2539.7199999999998</v>
      </c>
      <c r="E1922">
        <v>3</v>
      </c>
      <c r="F1922">
        <v>0.2</v>
      </c>
      <c r="G1922" t="s">
        <v>39</v>
      </c>
      <c r="H1922" t="s">
        <v>21</v>
      </c>
      <c r="I1922" t="s">
        <v>16</v>
      </c>
      <c r="J1922" s="2">
        <f>Table1_1[[#This Row],[Sales]]-Table1_1[[#This Row],[Sales]]*Table1_1[[#This Row],[Discount]]</f>
        <v>2031.7759999999998</v>
      </c>
      <c r="K1922" s="1">
        <v>45639</v>
      </c>
      <c r="L1922" s="11">
        <v>45645</v>
      </c>
      <c r="M1922">
        <f>DATEDIF(Table1_1[[#This Row],[Order Date]],Table1_1[[#This Row],[Ship Date]],"D")</f>
        <v>6</v>
      </c>
    </row>
    <row r="1923" spans="1:13" x14ac:dyDescent="0.35">
      <c r="A1923" t="s">
        <v>2339</v>
      </c>
      <c r="B1923" t="s">
        <v>627</v>
      </c>
      <c r="C1923" t="s">
        <v>696</v>
      </c>
      <c r="D1923" s="2">
        <v>2228.13</v>
      </c>
      <c r="E1923">
        <v>8</v>
      </c>
      <c r="F1923">
        <v>0.2</v>
      </c>
      <c r="G1923" t="s">
        <v>39</v>
      </c>
      <c r="H1923" t="s">
        <v>21</v>
      </c>
      <c r="I1923" t="s">
        <v>20</v>
      </c>
      <c r="J1923" s="2">
        <f>Table1_1[[#This Row],[Sales]]-Table1_1[[#This Row],[Sales]]*Table1_1[[#This Row],[Discount]]</f>
        <v>1782.5040000000001</v>
      </c>
      <c r="K1923" s="1">
        <v>45564</v>
      </c>
      <c r="L1923" s="11">
        <v>45568</v>
      </c>
      <c r="M1923">
        <f>DATEDIF(Table1_1[[#This Row],[Order Date]],Table1_1[[#This Row],[Ship Date]],"D")</f>
        <v>4</v>
      </c>
    </row>
    <row r="1924" spans="1:13" x14ac:dyDescent="0.35">
      <c r="A1924" t="s">
        <v>2340</v>
      </c>
      <c r="B1924" t="s">
        <v>597</v>
      </c>
      <c r="C1924" t="s">
        <v>441</v>
      </c>
      <c r="D1924" s="2">
        <v>4135.5</v>
      </c>
      <c r="E1924">
        <v>4</v>
      </c>
      <c r="F1924">
        <v>0.2</v>
      </c>
      <c r="G1924" t="s">
        <v>39</v>
      </c>
      <c r="H1924" t="s">
        <v>21</v>
      </c>
      <c r="I1924" t="s">
        <v>16</v>
      </c>
      <c r="J1924" s="2">
        <f>Table1_1[[#This Row],[Sales]]-Table1_1[[#This Row],[Sales]]*Table1_1[[#This Row],[Discount]]</f>
        <v>3308.4</v>
      </c>
      <c r="K1924" s="1">
        <v>45694</v>
      </c>
      <c r="L1924" s="11">
        <v>45701</v>
      </c>
      <c r="M1924">
        <f>DATEDIF(Table1_1[[#This Row],[Order Date]],Table1_1[[#This Row],[Ship Date]],"D")</f>
        <v>7</v>
      </c>
    </row>
    <row r="1925" spans="1:13" x14ac:dyDescent="0.35">
      <c r="A1925" t="s">
        <v>2341</v>
      </c>
      <c r="B1925" t="s">
        <v>203</v>
      </c>
      <c r="C1925" t="s">
        <v>273</v>
      </c>
      <c r="D1925" s="2">
        <v>3583.19</v>
      </c>
      <c r="E1925">
        <v>6</v>
      </c>
      <c r="F1925">
        <v>0.2</v>
      </c>
      <c r="G1925" t="s">
        <v>39</v>
      </c>
      <c r="H1925" t="s">
        <v>15</v>
      </c>
      <c r="I1925" t="s">
        <v>43</v>
      </c>
      <c r="J1925" s="2">
        <f>Table1_1[[#This Row],[Sales]]-Table1_1[[#This Row],[Sales]]*Table1_1[[#This Row],[Discount]]</f>
        <v>2866.5520000000001</v>
      </c>
      <c r="K1925" s="1">
        <v>45414</v>
      </c>
      <c r="L1925" s="11">
        <v>45419</v>
      </c>
      <c r="M1925">
        <f>DATEDIF(Table1_1[[#This Row],[Order Date]],Table1_1[[#This Row],[Ship Date]],"D")</f>
        <v>5</v>
      </c>
    </row>
    <row r="1926" spans="1:13" x14ac:dyDescent="0.35">
      <c r="A1926" t="s">
        <v>2342</v>
      </c>
      <c r="B1926" t="s">
        <v>431</v>
      </c>
      <c r="C1926" t="s">
        <v>178</v>
      </c>
      <c r="D1926" s="2">
        <v>4195.8900000000003</v>
      </c>
      <c r="E1926">
        <v>2</v>
      </c>
      <c r="F1926">
        <v>0.3</v>
      </c>
      <c r="G1926" t="s">
        <v>14</v>
      </c>
      <c r="H1926" t="s">
        <v>15</v>
      </c>
      <c r="I1926" t="s">
        <v>20</v>
      </c>
      <c r="J1926" s="2">
        <f>Table1_1[[#This Row],[Sales]]-Table1_1[[#This Row],[Sales]]*Table1_1[[#This Row],[Discount]]</f>
        <v>2937.1230000000005</v>
      </c>
      <c r="K1926" s="1">
        <v>45285</v>
      </c>
      <c r="L1926" s="11">
        <v>45286</v>
      </c>
      <c r="M1926">
        <f>DATEDIF(Table1_1[[#This Row],[Order Date]],Table1_1[[#This Row],[Ship Date]],"D")</f>
        <v>1</v>
      </c>
    </row>
    <row r="1927" spans="1:13" x14ac:dyDescent="0.35">
      <c r="A1927" t="s">
        <v>2343</v>
      </c>
      <c r="B1927" t="s">
        <v>518</v>
      </c>
      <c r="C1927" t="s">
        <v>105</v>
      </c>
      <c r="D1927" s="2">
        <v>4194.6499999999996</v>
      </c>
      <c r="E1927">
        <v>10</v>
      </c>
      <c r="F1927">
        <v>0.2</v>
      </c>
      <c r="G1927" t="s">
        <v>19</v>
      </c>
      <c r="H1927" t="s">
        <v>15</v>
      </c>
      <c r="I1927" t="s">
        <v>20</v>
      </c>
      <c r="J1927" s="2">
        <f>Table1_1[[#This Row],[Sales]]-Table1_1[[#This Row],[Sales]]*Table1_1[[#This Row],[Discount]]</f>
        <v>3355.72</v>
      </c>
      <c r="K1927" s="1">
        <v>45788</v>
      </c>
      <c r="L1927" s="11">
        <v>45793</v>
      </c>
      <c r="M1927">
        <f>DATEDIF(Table1_1[[#This Row],[Order Date]],Table1_1[[#This Row],[Ship Date]],"D")</f>
        <v>5</v>
      </c>
    </row>
    <row r="1928" spans="1:13" x14ac:dyDescent="0.35">
      <c r="A1928" t="s">
        <v>2344</v>
      </c>
      <c r="B1928" t="s">
        <v>691</v>
      </c>
      <c r="C1928" t="s">
        <v>214</v>
      </c>
      <c r="D1928" s="2">
        <v>4846.12</v>
      </c>
      <c r="E1928">
        <v>1</v>
      </c>
      <c r="F1928">
        <v>0.2</v>
      </c>
      <c r="G1928" t="s">
        <v>39</v>
      </c>
      <c r="H1928" t="s">
        <v>21</v>
      </c>
      <c r="I1928" t="s">
        <v>16</v>
      </c>
      <c r="J1928" s="2">
        <f>Table1_1[[#This Row],[Sales]]-Table1_1[[#This Row],[Sales]]*Table1_1[[#This Row],[Discount]]</f>
        <v>3876.8959999999997</v>
      </c>
      <c r="K1928" s="1">
        <v>45093</v>
      </c>
      <c r="L1928" s="11">
        <v>45097</v>
      </c>
      <c r="M1928">
        <f>DATEDIF(Table1_1[[#This Row],[Order Date]],Table1_1[[#This Row],[Ship Date]],"D")</f>
        <v>4</v>
      </c>
    </row>
    <row r="1929" spans="1:13" x14ac:dyDescent="0.35">
      <c r="A1929" t="s">
        <v>2345</v>
      </c>
      <c r="B1929" t="s">
        <v>233</v>
      </c>
      <c r="C1929" t="s">
        <v>448</v>
      </c>
      <c r="D1929" s="2">
        <v>4755.5</v>
      </c>
      <c r="E1929">
        <v>1</v>
      </c>
      <c r="F1929">
        <v>0.1</v>
      </c>
      <c r="G1929" t="s">
        <v>14</v>
      </c>
      <c r="H1929" t="s">
        <v>15</v>
      </c>
      <c r="I1929" t="s">
        <v>43</v>
      </c>
      <c r="J1929" s="2">
        <f>Table1_1[[#This Row],[Sales]]-Table1_1[[#This Row],[Sales]]*Table1_1[[#This Row],[Discount]]</f>
        <v>4279.95</v>
      </c>
      <c r="K1929" s="1">
        <v>44945</v>
      </c>
      <c r="L1929" s="11">
        <v>44949</v>
      </c>
      <c r="M1929">
        <f>DATEDIF(Table1_1[[#This Row],[Order Date]],Table1_1[[#This Row],[Ship Date]],"D")</f>
        <v>4</v>
      </c>
    </row>
    <row r="1930" spans="1:13" x14ac:dyDescent="0.35">
      <c r="A1930" t="s">
        <v>2346</v>
      </c>
      <c r="B1930" t="s">
        <v>213</v>
      </c>
      <c r="C1930" t="s">
        <v>197</v>
      </c>
      <c r="D1930" s="2">
        <v>1933.2</v>
      </c>
      <c r="E1930">
        <v>5</v>
      </c>
      <c r="F1930">
        <v>0.1</v>
      </c>
      <c r="G1930" t="s">
        <v>14</v>
      </c>
      <c r="H1930" t="s">
        <v>21</v>
      </c>
      <c r="I1930" t="s">
        <v>43</v>
      </c>
      <c r="J1930" s="2">
        <f>Table1_1[[#This Row],[Sales]]-Table1_1[[#This Row],[Sales]]*Table1_1[[#This Row],[Discount]]</f>
        <v>1739.88</v>
      </c>
      <c r="K1930" s="1">
        <v>45065</v>
      </c>
      <c r="L1930" s="11">
        <v>45068</v>
      </c>
      <c r="M1930">
        <f>DATEDIF(Table1_1[[#This Row],[Order Date]],Table1_1[[#This Row],[Ship Date]],"D")</f>
        <v>3</v>
      </c>
    </row>
    <row r="1931" spans="1:13" x14ac:dyDescent="0.35">
      <c r="A1931" t="s">
        <v>2347</v>
      </c>
      <c r="B1931" t="s">
        <v>462</v>
      </c>
      <c r="C1931" t="s">
        <v>542</v>
      </c>
      <c r="D1931" s="2">
        <v>1054.94</v>
      </c>
      <c r="E1931">
        <v>4</v>
      </c>
      <c r="F1931">
        <v>0.3</v>
      </c>
      <c r="G1931" t="s">
        <v>39</v>
      </c>
      <c r="H1931" t="s">
        <v>21</v>
      </c>
      <c r="I1931" t="s">
        <v>43</v>
      </c>
      <c r="J1931" s="2">
        <f>Table1_1[[#This Row],[Sales]]-Table1_1[[#This Row],[Sales]]*Table1_1[[#This Row],[Discount]]</f>
        <v>738.45800000000008</v>
      </c>
      <c r="K1931" s="1">
        <v>45270</v>
      </c>
      <c r="L1931" s="11">
        <v>45274</v>
      </c>
      <c r="M1931">
        <f>DATEDIF(Table1_1[[#This Row],[Order Date]],Table1_1[[#This Row],[Ship Date]],"D")</f>
        <v>4</v>
      </c>
    </row>
    <row r="1932" spans="1:13" x14ac:dyDescent="0.35">
      <c r="A1932" t="s">
        <v>2348</v>
      </c>
      <c r="B1932" t="s">
        <v>796</v>
      </c>
      <c r="C1932" t="s">
        <v>384</v>
      </c>
      <c r="D1932" s="2">
        <v>1263.78</v>
      </c>
      <c r="E1932">
        <v>1</v>
      </c>
      <c r="F1932">
        <v>0.1</v>
      </c>
      <c r="G1932" t="s">
        <v>14</v>
      </c>
      <c r="H1932" t="s">
        <v>15</v>
      </c>
      <c r="I1932" t="s">
        <v>43</v>
      </c>
      <c r="J1932" s="2">
        <f>Table1_1[[#This Row],[Sales]]-Table1_1[[#This Row],[Sales]]*Table1_1[[#This Row],[Discount]]</f>
        <v>1137.402</v>
      </c>
      <c r="K1932" s="1">
        <v>44993</v>
      </c>
      <c r="L1932" s="11">
        <v>44995</v>
      </c>
      <c r="M1932">
        <f>DATEDIF(Table1_1[[#This Row],[Order Date]],Table1_1[[#This Row],[Ship Date]],"D")</f>
        <v>2</v>
      </c>
    </row>
    <row r="1933" spans="1:13" x14ac:dyDescent="0.35">
      <c r="A1933" t="s">
        <v>2349</v>
      </c>
      <c r="B1933" t="s">
        <v>79</v>
      </c>
      <c r="C1933" t="s">
        <v>102</v>
      </c>
      <c r="D1933" s="2">
        <v>945.34</v>
      </c>
      <c r="E1933">
        <v>2</v>
      </c>
      <c r="F1933">
        <v>0</v>
      </c>
      <c r="G1933" t="s">
        <v>19</v>
      </c>
      <c r="H1933" t="s">
        <v>15</v>
      </c>
      <c r="I1933" t="s">
        <v>20</v>
      </c>
      <c r="J1933" s="2">
        <f>Table1_1[[#This Row],[Sales]]-Table1_1[[#This Row],[Sales]]*Table1_1[[#This Row],[Discount]]</f>
        <v>945.34</v>
      </c>
      <c r="K1933" s="1">
        <v>45308</v>
      </c>
      <c r="L1933" s="11">
        <v>45312</v>
      </c>
      <c r="M1933">
        <f>DATEDIF(Table1_1[[#This Row],[Order Date]],Table1_1[[#This Row],[Ship Date]],"D")</f>
        <v>4</v>
      </c>
    </row>
    <row r="1934" spans="1:13" x14ac:dyDescent="0.35">
      <c r="A1934" t="s">
        <v>2350</v>
      </c>
      <c r="B1934" t="s">
        <v>203</v>
      </c>
      <c r="C1934" t="s">
        <v>487</v>
      </c>
      <c r="D1934" s="2">
        <v>864.22</v>
      </c>
      <c r="E1934">
        <v>4</v>
      </c>
      <c r="F1934">
        <v>0.3</v>
      </c>
      <c r="G1934" t="s">
        <v>14</v>
      </c>
      <c r="H1934" t="s">
        <v>21</v>
      </c>
      <c r="I1934" t="s">
        <v>20</v>
      </c>
      <c r="J1934" s="2">
        <f>Table1_1[[#This Row],[Sales]]-Table1_1[[#This Row],[Sales]]*Table1_1[[#This Row],[Discount]]</f>
        <v>604.95399999999995</v>
      </c>
      <c r="K1934" s="1">
        <v>44972</v>
      </c>
      <c r="L1934" s="11">
        <v>44977</v>
      </c>
      <c r="M1934">
        <f>DATEDIF(Table1_1[[#This Row],[Order Date]],Table1_1[[#This Row],[Ship Date]],"D")</f>
        <v>5</v>
      </c>
    </row>
    <row r="1935" spans="1:13" x14ac:dyDescent="0.35">
      <c r="A1935" t="s">
        <v>2351</v>
      </c>
      <c r="B1935" t="s">
        <v>258</v>
      </c>
      <c r="C1935" t="s">
        <v>384</v>
      </c>
      <c r="D1935" s="2">
        <v>4340.3900000000003</v>
      </c>
      <c r="E1935">
        <v>5</v>
      </c>
      <c r="F1935">
        <v>0.1</v>
      </c>
      <c r="G1935" t="s">
        <v>14</v>
      </c>
      <c r="H1935" t="s">
        <v>15</v>
      </c>
      <c r="I1935" t="s">
        <v>43</v>
      </c>
      <c r="J1935" s="2">
        <f>Table1_1[[#This Row],[Sales]]-Table1_1[[#This Row],[Sales]]*Table1_1[[#This Row],[Discount]]</f>
        <v>3906.3510000000001</v>
      </c>
      <c r="K1935" s="1">
        <v>45702</v>
      </c>
      <c r="L1935" s="11">
        <v>45703</v>
      </c>
      <c r="M1935">
        <f>DATEDIF(Table1_1[[#This Row],[Order Date]],Table1_1[[#This Row],[Ship Date]],"D")</f>
        <v>1</v>
      </c>
    </row>
    <row r="1936" spans="1:13" x14ac:dyDescent="0.35">
      <c r="A1936" t="s">
        <v>2352</v>
      </c>
      <c r="B1936" t="s">
        <v>661</v>
      </c>
      <c r="C1936" t="s">
        <v>231</v>
      </c>
      <c r="D1936" s="2">
        <v>2383.4499999999998</v>
      </c>
      <c r="E1936">
        <v>5</v>
      </c>
      <c r="F1936">
        <v>0.2</v>
      </c>
      <c r="G1936" t="s">
        <v>19</v>
      </c>
      <c r="H1936" t="s">
        <v>21</v>
      </c>
      <c r="I1936" t="s">
        <v>43</v>
      </c>
      <c r="J1936" s="2">
        <f>Table1_1[[#This Row],[Sales]]-Table1_1[[#This Row],[Sales]]*Table1_1[[#This Row],[Discount]]</f>
        <v>1906.7599999999998</v>
      </c>
      <c r="K1936" s="1">
        <v>45380</v>
      </c>
      <c r="L1936" s="11">
        <v>45384</v>
      </c>
      <c r="M1936">
        <f>DATEDIF(Table1_1[[#This Row],[Order Date]],Table1_1[[#This Row],[Ship Date]],"D")</f>
        <v>4</v>
      </c>
    </row>
    <row r="1937" spans="1:13" x14ac:dyDescent="0.35">
      <c r="A1937" t="s">
        <v>2353</v>
      </c>
      <c r="B1937" t="s">
        <v>842</v>
      </c>
      <c r="C1937" t="s">
        <v>251</v>
      </c>
      <c r="D1937" s="2">
        <v>1215.33</v>
      </c>
      <c r="E1937">
        <v>4</v>
      </c>
      <c r="F1937">
        <v>0</v>
      </c>
      <c r="G1937" t="s">
        <v>14</v>
      </c>
      <c r="H1937" t="s">
        <v>21</v>
      </c>
      <c r="I1937" t="s">
        <v>16</v>
      </c>
      <c r="J1937" s="2">
        <f>Table1_1[[#This Row],[Sales]]-Table1_1[[#This Row],[Sales]]*Table1_1[[#This Row],[Discount]]</f>
        <v>1215.33</v>
      </c>
      <c r="K1937" s="1">
        <v>45195</v>
      </c>
      <c r="L1937" s="11">
        <v>45199</v>
      </c>
      <c r="M1937">
        <f>DATEDIF(Table1_1[[#This Row],[Order Date]],Table1_1[[#This Row],[Ship Date]],"D")</f>
        <v>4</v>
      </c>
    </row>
    <row r="1938" spans="1:13" x14ac:dyDescent="0.35">
      <c r="A1938" t="s">
        <v>2354</v>
      </c>
      <c r="B1938" t="s">
        <v>429</v>
      </c>
      <c r="C1938" t="s">
        <v>178</v>
      </c>
      <c r="D1938" s="2">
        <v>3886.72</v>
      </c>
      <c r="E1938">
        <v>4</v>
      </c>
      <c r="F1938">
        <v>0.3</v>
      </c>
      <c r="G1938" t="s">
        <v>39</v>
      </c>
      <c r="H1938" t="s">
        <v>21</v>
      </c>
      <c r="I1938" t="s">
        <v>43</v>
      </c>
      <c r="J1938" s="2">
        <f>Table1_1[[#This Row],[Sales]]-Table1_1[[#This Row],[Sales]]*Table1_1[[#This Row],[Discount]]</f>
        <v>2720.7039999999997</v>
      </c>
      <c r="K1938" s="1">
        <v>45785</v>
      </c>
      <c r="L1938" s="11">
        <v>45790</v>
      </c>
      <c r="M1938">
        <f>DATEDIF(Table1_1[[#This Row],[Order Date]],Table1_1[[#This Row],[Ship Date]],"D")</f>
        <v>5</v>
      </c>
    </row>
    <row r="1939" spans="1:13" x14ac:dyDescent="0.35">
      <c r="A1939" t="s">
        <v>2355</v>
      </c>
      <c r="B1939" t="s">
        <v>1829</v>
      </c>
      <c r="C1939" t="s">
        <v>99</v>
      </c>
      <c r="D1939" s="2">
        <v>1624.17</v>
      </c>
      <c r="E1939">
        <v>6</v>
      </c>
      <c r="F1939">
        <v>0</v>
      </c>
      <c r="G1939" t="s">
        <v>14</v>
      </c>
      <c r="H1939" t="s">
        <v>15</v>
      </c>
      <c r="I1939" t="s">
        <v>20</v>
      </c>
      <c r="J1939" s="2">
        <f>Table1_1[[#This Row],[Sales]]-Table1_1[[#This Row],[Sales]]*Table1_1[[#This Row],[Discount]]</f>
        <v>1624.17</v>
      </c>
      <c r="K1939" s="1">
        <v>45502</v>
      </c>
      <c r="L1939" s="11">
        <v>45506</v>
      </c>
      <c r="M1939">
        <f>DATEDIF(Table1_1[[#This Row],[Order Date]],Table1_1[[#This Row],[Ship Date]],"D")</f>
        <v>4</v>
      </c>
    </row>
    <row r="1940" spans="1:13" x14ac:dyDescent="0.35">
      <c r="A1940" t="s">
        <v>2356</v>
      </c>
      <c r="B1940" t="s">
        <v>284</v>
      </c>
      <c r="C1940" t="s">
        <v>329</v>
      </c>
      <c r="D1940" s="2">
        <v>3060.35</v>
      </c>
      <c r="E1940">
        <v>9</v>
      </c>
      <c r="F1940">
        <v>0</v>
      </c>
      <c r="G1940" t="s">
        <v>14</v>
      </c>
      <c r="H1940" t="s">
        <v>15</v>
      </c>
      <c r="I1940" t="s">
        <v>20</v>
      </c>
      <c r="J1940" s="2">
        <f>Table1_1[[#This Row],[Sales]]-Table1_1[[#This Row],[Sales]]*Table1_1[[#This Row],[Discount]]</f>
        <v>3060.35</v>
      </c>
      <c r="K1940" s="1">
        <v>45245</v>
      </c>
      <c r="L1940" s="11">
        <v>45246</v>
      </c>
      <c r="M1940">
        <f>DATEDIF(Table1_1[[#This Row],[Order Date]],Table1_1[[#This Row],[Ship Date]],"D")</f>
        <v>1</v>
      </c>
    </row>
    <row r="1941" spans="1:13" x14ac:dyDescent="0.35">
      <c r="A1941" t="s">
        <v>2357</v>
      </c>
      <c r="B1941" t="s">
        <v>248</v>
      </c>
      <c r="C1941" t="s">
        <v>281</v>
      </c>
      <c r="D1941" s="2">
        <v>3655.58</v>
      </c>
      <c r="E1941">
        <v>6</v>
      </c>
      <c r="F1941">
        <v>0.1</v>
      </c>
      <c r="G1941" t="s">
        <v>19</v>
      </c>
      <c r="H1941" t="s">
        <v>21</v>
      </c>
      <c r="I1941" t="s">
        <v>43</v>
      </c>
      <c r="J1941" s="2">
        <f>Table1_1[[#This Row],[Sales]]-Table1_1[[#This Row],[Sales]]*Table1_1[[#This Row],[Discount]]</f>
        <v>3290.0219999999999</v>
      </c>
      <c r="K1941" s="1">
        <v>45245</v>
      </c>
      <c r="L1941" s="11">
        <v>45249</v>
      </c>
      <c r="M1941">
        <f>DATEDIF(Table1_1[[#This Row],[Order Date]],Table1_1[[#This Row],[Ship Date]],"D")</f>
        <v>4</v>
      </c>
    </row>
    <row r="1942" spans="1:13" x14ac:dyDescent="0.35">
      <c r="A1942" t="s">
        <v>2358</v>
      </c>
      <c r="B1942" t="s">
        <v>374</v>
      </c>
      <c r="C1942" t="s">
        <v>113</v>
      </c>
      <c r="D1942" s="2">
        <v>2466.63</v>
      </c>
      <c r="E1942">
        <v>8</v>
      </c>
      <c r="F1942">
        <v>0.1</v>
      </c>
      <c r="G1942" t="s">
        <v>14</v>
      </c>
      <c r="H1942" t="s">
        <v>21</v>
      </c>
      <c r="I1942" t="s">
        <v>16</v>
      </c>
      <c r="J1942" s="2">
        <f>Table1_1[[#This Row],[Sales]]-Table1_1[[#This Row],[Sales]]*Table1_1[[#This Row],[Discount]]</f>
        <v>2219.9670000000001</v>
      </c>
      <c r="K1942" s="1">
        <v>45256</v>
      </c>
      <c r="L1942" s="11">
        <v>45260</v>
      </c>
      <c r="M1942">
        <f>DATEDIF(Table1_1[[#This Row],[Order Date]],Table1_1[[#This Row],[Ship Date]],"D")</f>
        <v>4</v>
      </c>
    </row>
    <row r="1943" spans="1:13" x14ac:dyDescent="0.35">
      <c r="A1943" t="s">
        <v>2359</v>
      </c>
      <c r="B1943" t="s">
        <v>54</v>
      </c>
      <c r="C1943" t="s">
        <v>68</v>
      </c>
      <c r="D1943" s="2">
        <v>1623.8</v>
      </c>
      <c r="E1943">
        <v>2</v>
      </c>
      <c r="F1943">
        <v>0.2</v>
      </c>
      <c r="G1943" t="s">
        <v>14</v>
      </c>
      <c r="H1943" t="s">
        <v>21</v>
      </c>
      <c r="I1943" t="s">
        <v>43</v>
      </c>
      <c r="J1943" s="2">
        <f>Table1_1[[#This Row],[Sales]]-Table1_1[[#This Row],[Sales]]*Table1_1[[#This Row],[Discount]]</f>
        <v>1299.04</v>
      </c>
      <c r="K1943" s="1">
        <v>45391</v>
      </c>
      <c r="L1943" s="11">
        <v>45394</v>
      </c>
      <c r="M1943">
        <f>DATEDIF(Table1_1[[#This Row],[Order Date]],Table1_1[[#This Row],[Ship Date]],"D")</f>
        <v>3</v>
      </c>
    </row>
    <row r="1944" spans="1:13" x14ac:dyDescent="0.35">
      <c r="A1944" t="s">
        <v>2360</v>
      </c>
      <c r="B1944" t="s">
        <v>380</v>
      </c>
      <c r="C1944" t="s">
        <v>458</v>
      </c>
      <c r="D1944" s="2">
        <v>1384.05</v>
      </c>
      <c r="E1944">
        <v>2</v>
      </c>
      <c r="F1944">
        <v>0.3</v>
      </c>
      <c r="G1944" t="s">
        <v>14</v>
      </c>
      <c r="H1944" t="s">
        <v>21</v>
      </c>
      <c r="I1944" t="s">
        <v>20</v>
      </c>
      <c r="J1944" s="2">
        <f>Table1_1[[#This Row],[Sales]]-Table1_1[[#This Row],[Sales]]*Table1_1[[#This Row],[Discount]]</f>
        <v>968.83500000000004</v>
      </c>
      <c r="K1944" s="1">
        <v>44968</v>
      </c>
      <c r="L1944" s="11">
        <v>44974</v>
      </c>
      <c r="M1944">
        <f>DATEDIF(Table1_1[[#This Row],[Order Date]],Table1_1[[#This Row],[Ship Date]],"D")</f>
        <v>6</v>
      </c>
    </row>
    <row r="1945" spans="1:13" x14ac:dyDescent="0.35">
      <c r="A1945" t="s">
        <v>2361</v>
      </c>
      <c r="B1945" t="s">
        <v>382</v>
      </c>
      <c r="C1945" t="s">
        <v>726</v>
      </c>
      <c r="D1945" s="2">
        <v>3160.93</v>
      </c>
      <c r="E1945">
        <v>3</v>
      </c>
      <c r="F1945">
        <v>0</v>
      </c>
      <c r="G1945" t="s">
        <v>19</v>
      </c>
      <c r="H1945" t="s">
        <v>15</v>
      </c>
      <c r="I1945" t="s">
        <v>43</v>
      </c>
      <c r="J1945" s="2">
        <f>Table1_1[[#This Row],[Sales]]-Table1_1[[#This Row],[Sales]]*Table1_1[[#This Row],[Discount]]</f>
        <v>3160.93</v>
      </c>
      <c r="K1945" s="1">
        <v>45748</v>
      </c>
      <c r="L1945" s="11">
        <v>45752</v>
      </c>
      <c r="M1945">
        <f>DATEDIF(Table1_1[[#This Row],[Order Date]],Table1_1[[#This Row],[Ship Date]],"D")</f>
        <v>4</v>
      </c>
    </row>
    <row r="1946" spans="1:13" x14ac:dyDescent="0.35">
      <c r="A1946" t="s">
        <v>2362</v>
      </c>
      <c r="B1946" t="s">
        <v>791</v>
      </c>
      <c r="C1946" t="s">
        <v>26</v>
      </c>
      <c r="D1946" s="2">
        <v>4230.6899999999996</v>
      </c>
      <c r="E1946">
        <v>9</v>
      </c>
      <c r="F1946">
        <v>0</v>
      </c>
      <c r="G1946" t="s">
        <v>14</v>
      </c>
      <c r="H1946" t="s">
        <v>21</v>
      </c>
      <c r="I1946" t="s">
        <v>16</v>
      </c>
      <c r="J1946" s="2">
        <f>Table1_1[[#This Row],[Sales]]-Table1_1[[#This Row],[Sales]]*Table1_1[[#This Row],[Discount]]</f>
        <v>4230.6899999999996</v>
      </c>
      <c r="K1946" s="1">
        <v>45524</v>
      </c>
      <c r="L1946" s="11">
        <v>45527</v>
      </c>
      <c r="M1946">
        <f>DATEDIF(Table1_1[[#This Row],[Order Date]],Table1_1[[#This Row],[Ship Date]],"D")</f>
        <v>3</v>
      </c>
    </row>
    <row r="1947" spans="1:13" x14ac:dyDescent="0.35">
      <c r="A1947" t="s">
        <v>2363</v>
      </c>
      <c r="B1947" t="s">
        <v>520</v>
      </c>
      <c r="C1947" t="s">
        <v>243</v>
      </c>
      <c r="D1947" s="2">
        <v>2623.33</v>
      </c>
      <c r="E1947">
        <v>3</v>
      </c>
      <c r="F1947">
        <v>0.1</v>
      </c>
      <c r="G1947" t="s">
        <v>39</v>
      </c>
      <c r="H1947" t="s">
        <v>21</v>
      </c>
      <c r="I1947" t="s">
        <v>16</v>
      </c>
      <c r="J1947" s="2">
        <f>Table1_1[[#This Row],[Sales]]-Table1_1[[#This Row],[Sales]]*Table1_1[[#This Row],[Discount]]</f>
        <v>2360.9969999999998</v>
      </c>
      <c r="K1947" s="1">
        <v>45631</v>
      </c>
      <c r="L1947" s="11">
        <v>45637</v>
      </c>
      <c r="M1947">
        <f>DATEDIF(Table1_1[[#This Row],[Order Date]],Table1_1[[#This Row],[Ship Date]],"D")</f>
        <v>6</v>
      </c>
    </row>
    <row r="1948" spans="1:13" x14ac:dyDescent="0.35">
      <c r="A1948" t="s">
        <v>2364</v>
      </c>
      <c r="B1948" t="s">
        <v>1248</v>
      </c>
      <c r="C1948" t="s">
        <v>595</v>
      </c>
      <c r="D1948" s="2">
        <v>181.21</v>
      </c>
      <c r="E1948">
        <v>2</v>
      </c>
      <c r="F1948">
        <v>0.1</v>
      </c>
      <c r="G1948" t="s">
        <v>19</v>
      </c>
      <c r="H1948" t="s">
        <v>15</v>
      </c>
      <c r="I1948" t="s">
        <v>43</v>
      </c>
      <c r="J1948" s="2">
        <f>Table1_1[[#This Row],[Sales]]-Table1_1[[#This Row],[Sales]]*Table1_1[[#This Row],[Discount]]</f>
        <v>163.089</v>
      </c>
      <c r="K1948" s="1">
        <v>45192</v>
      </c>
      <c r="L1948" s="11">
        <v>45199</v>
      </c>
      <c r="M1948">
        <f>DATEDIF(Table1_1[[#This Row],[Order Date]],Table1_1[[#This Row],[Ship Date]],"D")</f>
        <v>7</v>
      </c>
    </row>
    <row r="1949" spans="1:13" x14ac:dyDescent="0.35">
      <c r="A1949" t="s">
        <v>2365</v>
      </c>
      <c r="B1949" t="s">
        <v>876</v>
      </c>
      <c r="C1949" t="s">
        <v>57</v>
      </c>
      <c r="D1949" s="2">
        <v>207.65</v>
      </c>
      <c r="E1949">
        <v>5</v>
      </c>
      <c r="F1949">
        <v>0.1</v>
      </c>
      <c r="G1949" t="s">
        <v>19</v>
      </c>
      <c r="H1949" t="s">
        <v>21</v>
      </c>
      <c r="I1949" t="s">
        <v>43</v>
      </c>
      <c r="J1949" s="2">
        <f>Table1_1[[#This Row],[Sales]]-Table1_1[[#This Row],[Sales]]*Table1_1[[#This Row],[Discount]]</f>
        <v>186.88499999999999</v>
      </c>
      <c r="K1949" s="1">
        <v>45179</v>
      </c>
      <c r="L1949" s="11">
        <v>45183</v>
      </c>
      <c r="M1949">
        <f>DATEDIF(Table1_1[[#This Row],[Order Date]],Table1_1[[#This Row],[Ship Date]],"D")</f>
        <v>4</v>
      </c>
    </row>
    <row r="1950" spans="1:13" x14ac:dyDescent="0.35">
      <c r="A1950" t="s">
        <v>2366</v>
      </c>
      <c r="B1950" t="s">
        <v>104</v>
      </c>
      <c r="C1950" t="s">
        <v>82</v>
      </c>
      <c r="D1950" s="2">
        <v>2677.3</v>
      </c>
      <c r="E1950">
        <v>4</v>
      </c>
      <c r="F1950">
        <v>0</v>
      </c>
      <c r="G1950" t="s">
        <v>14</v>
      </c>
      <c r="H1950" t="s">
        <v>21</v>
      </c>
      <c r="I1950" t="s">
        <v>20</v>
      </c>
      <c r="J1950" s="2">
        <f>Table1_1[[#This Row],[Sales]]-Table1_1[[#This Row],[Sales]]*Table1_1[[#This Row],[Discount]]</f>
        <v>2677.3</v>
      </c>
      <c r="K1950" s="1">
        <v>45646</v>
      </c>
      <c r="L1950" s="11">
        <v>45653</v>
      </c>
      <c r="M1950">
        <f>DATEDIF(Table1_1[[#This Row],[Order Date]],Table1_1[[#This Row],[Ship Date]],"D")</f>
        <v>7</v>
      </c>
    </row>
    <row r="1951" spans="1:13" x14ac:dyDescent="0.35">
      <c r="A1951" t="s">
        <v>2367</v>
      </c>
      <c r="B1951" t="s">
        <v>1248</v>
      </c>
      <c r="C1951" t="s">
        <v>726</v>
      </c>
      <c r="D1951" s="2">
        <v>1516.28</v>
      </c>
      <c r="E1951">
        <v>3</v>
      </c>
      <c r="F1951">
        <v>0.3</v>
      </c>
      <c r="G1951" t="s">
        <v>39</v>
      </c>
      <c r="H1951" t="s">
        <v>21</v>
      </c>
      <c r="I1951" t="s">
        <v>20</v>
      </c>
      <c r="J1951" s="2">
        <f>Table1_1[[#This Row],[Sales]]-Table1_1[[#This Row],[Sales]]*Table1_1[[#This Row],[Discount]]</f>
        <v>1061.396</v>
      </c>
      <c r="K1951" s="1">
        <v>45527</v>
      </c>
      <c r="L1951" s="11">
        <v>45530</v>
      </c>
      <c r="M1951">
        <f>DATEDIF(Table1_1[[#This Row],[Order Date]],Table1_1[[#This Row],[Ship Date]],"D")</f>
        <v>3</v>
      </c>
    </row>
    <row r="1952" spans="1:13" x14ac:dyDescent="0.35">
      <c r="A1952" t="s">
        <v>2368</v>
      </c>
      <c r="B1952" t="s">
        <v>577</v>
      </c>
      <c r="C1952" t="s">
        <v>211</v>
      </c>
      <c r="D1952" s="2">
        <v>1144.6199999999999</v>
      </c>
      <c r="E1952">
        <v>1</v>
      </c>
      <c r="F1952">
        <v>0.1</v>
      </c>
      <c r="G1952" t="s">
        <v>14</v>
      </c>
      <c r="H1952" t="s">
        <v>21</v>
      </c>
      <c r="I1952" t="s">
        <v>20</v>
      </c>
      <c r="J1952" s="2">
        <f>Table1_1[[#This Row],[Sales]]-Table1_1[[#This Row],[Sales]]*Table1_1[[#This Row],[Discount]]</f>
        <v>1030.1579999999999</v>
      </c>
      <c r="K1952" s="1">
        <v>45576</v>
      </c>
      <c r="L1952" s="11">
        <v>45579</v>
      </c>
      <c r="M1952">
        <f>DATEDIF(Table1_1[[#This Row],[Order Date]],Table1_1[[#This Row],[Ship Date]],"D")</f>
        <v>3</v>
      </c>
    </row>
    <row r="1953" spans="1:13" x14ac:dyDescent="0.35">
      <c r="A1953" t="s">
        <v>2369</v>
      </c>
      <c r="B1953" t="s">
        <v>652</v>
      </c>
      <c r="C1953" t="s">
        <v>458</v>
      </c>
      <c r="D1953" s="2">
        <v>2075.6999999999998</v>
      </c>
      <c r="E1953">
        <v>7</v>
      </c>
      <c r="F1953">
        <v>0.1</v>
      </c>
      <c r="G1953" t="s">
        <v>39</v>
      </c>
      <c r="H1953" t="s">
        <v>15</v>
      </c>
      <c r="I1953" t="s">
        <v>20</v>
      </c>
      <c r="J1953" s="2">
        <f>Table1_1[[#This Row],[Sales]]-Table1_1[[#This Row],[Sales]]*Table1_1[[#This Row],[Discount]]</f>
        <v>1868.1299999999999</v>
      </c>
      <c r="K1953" s="1">
        <v>45728</v>
      </c>
      <c r="L1953" s="11">
        <v>45730</v>
      </c>
      <c r="M1953">
        <f>DATEDIF(Table1_1[[#This Row],[Order Date]],Table1_1[[#This Row],[Ship Date]],"D")</f>
        <v>2</v>
      </c>
    </row>
    <row r="1954" spans="1:13" x14ac:dyDescent="0.35">
      <c r="A1954" t="s">
        <v>2370</v>
      </c>
      <c r="B1954" t="s">
        <v>117</v>
      </c>
      <c r="C1954" t="s">
        <v>251</v>
      </c>
      <c r="D1954" s="2">
        <v>3963.84</v>
      </c>
      <c r="E1954">
        <v>2</v>
      </c>
      <c r="F1954">
        <v>0.1</v>
      </c>
      <c r="G1954" t="s">
        <v>14</v>
      </c>
      <c r="H1954" t="s">
        <v>15</v>
      </c>
      <c r="I1954" t="s">
        <v>20</v>
      </c>
      <c r="J1954" s="2">
        <f>Table1_1[[#This Row],[Sales]]-Table1_1[[#This Row],[Sales]]*Table1_1[[#This Row],[Discount]]</f>
        <v>3567.4560000000001</v>
      </c>
      <c r="K1954" s="1">
        <v>45397</v>
      </c>
      <c r="L1954" s="11">
        <v>45404</v>
      </c>
      <c r="M1954">
        <f>DATEDIF(Table1_1[[#This Row],[Order Date]],Table1_1[[#This Row],[Ship Date]],"D")</f>
        <v>7</v>
      </c>
    </row>
    <row r="1955" spans="1:13" x14ac:dyDescent="0.35">
      <c r="A1955" t="s">
        <v>2371</v>
      </c>
      <c r="B1955" t="s">
        <v>840</v>
      </c>
      <c r="C1955" t="s">
        <v>359</v>
      </c>
      <c r="D1955" s="2">
        <v>1981.32</v>
      </c>
      <c r="E1955">
        <v>9</v>
      </c>
      <c r="F1955">
        <v>0.2</v>
      </c>
      <c r="G1955" t="s">
        <v>39</v>
      </c>
      <c r="H1955" t="s">
        <v>21</v>
      </c>
      <c r="I1955" t="s">
        <v>16</v>
      </c>
      <c r="J1955" s="2">
        <f>Table1_1[[#This Row],[Sales]]-Table1_1[[#This Row],[Sales]]*Table1_1[[#This Row],[Discount]]</f>
        <v>1585.056</v>
      </c>
      <c r="K1955" s="1">
        <v>45289</v>
      </c>
      <c r="L1955" s="11">
        <v>45295</v>
      </c>
      <c r="M1955">
        <f>DATEDIF(Table1_1[[#This Row],[Order Date]],Table1_1[[#This Row],[Ship Date]],"D")</f>
        <v>6</v>
      </c>
    </row>
    <row r="1956" spans="1:13" x14ac:dyDescent="0.35">
      <c r="A1956" t="s">
        <v>2372</v>
      </c>
      <c r="B1956" t="s">
        <v>1794</v>
      </c>
      <c r="C1956" t="s">
        <v>359</v>
      </c>
      <c r="D1956" s="2">
        <v>2949.68</v>
      </c>
      <c r="E1956">
        <v>7</v>
      </c>
      <c r="F1956">
        <v>0.1</v>
      </c>
      <c r="G1956" t="s">
        <v>19</v>
      </c>
      <c r="H1956" t="s">
        <v>15</v>
      </c>
      <c r="I1956" t="s">
        <v>43</v>
      </c>
      <c r="J1956" s="2">
        <f>Table1_1[[#This Row],[Sales]]-Table1_1[[#This Row],[Sales]]*Table1_1[[#This Row],[Discount]]</f>
        <v>2654.712</v>
      </c>
      <c r="K1956" s="1">
        <v>44974</v>
      </c>
      <c r="L1956" s="11">
        <v>44975</v>
      </c>
      <c r="M1956">
        <f>DATEDIF(Table1_1[[#This Row],[Order Date]],Table1_1[[#This Row],[Ship Date]],"D")</f>
        <v>1</v>
      </c>
    </row>
    <row r="1957" spans="1:13" x14ac:dyDescent="0.35">
      <c r="A1957" t="s">
        <v>2373</v>
      </c>
      <c r="B1957" t="s">
        <v>1166</v>
      </c>
      <c r="C1957" t="s">
        <v>89</v>
      </c>
      <c r="D1957" s="2">
        <v>4549.8599999999997</v>
      </c>
      <c r="E1957">
        <v>4</v>
      </c>
      <c r="F1957">
        <v>0.3</v>
      </c>
      <c r="G1957" t="s">
        <v>39</v>
      </c>
      <c r="H1957" t="s">
        <v>15</v>
      </c>
      <c r="I1957" t="s">
        <v>43</v>
      </c>
      <c r="J1957" s="2">
        <f>Table1_1[[#This Row],[Sales]]-Table1_1[[#This Row],[Sales]]*Table1_1[[#This Row],[Discount]]</f>
        <v>3184.902</v>
      </c>
      <c r="K1957" s="1">
        <v>45209</v>
      </c>
      <c r="L1957" s="11">
        <v>45215</v>
      </c>
      <c r="M1957">
        <f>DATEDIF(Table1_1[[#This Row],[Order Date]],Table1_1[[#This Row],[Ship Date]],"D")</f>
        <v>6</v>
      </c>
    </row>
    <row r="1958" spans="1:13" x14ac:dyDescent="0.35">
      <c r="A1958" t="s">
        <v>2374</v>
      </c>
      <c r="B1958" t="s">
        <v>599</v>
      </c>
      <c r="C1958" t="s">
        <v>341</v>
      </c>
      <c r="D1958" s="2">
        <v>2711.65</v>
      </c>
      <c r="E1958">
        <v>8</v>
      </c>
      <c r="F1958">
        <v>0.1</v>
      </c>
      <c r="G1958" t="s">
        <v>19</v>
      </c>
      <c r="H1958" t="s">
        <v>21</v>
      </c>
      <c r="I1958" t="s">
        <v>43</v>
      </c>
      <c r="J1958" s="2">
        <f>Table1_1[[#This Row],[Sales]]-Table1_1[[#This Row],[Sales]]*Table1_1[[#This Row],[Discount]]</f>
        <v>2440.4850000000001</v>
      </c>
      <c r="K1958" s="1">
        <v>45057</v>
      </c>
      <c r="L1958" s="11">
        <v>45064</v>
      </c>
      <c r="M1958">
        <f>DATEDIF(Table1_1[[#This Row],[Order Date]],Table1_1[[#This Row],[Ship Date]],"D")</f>
        <v>7</v>
      </c>
    </row>
    <row r="1959" spans="1:13" x14ac:dyDescent="0.35">
      <c r="A1959" t="s">
        <v>2375</v>
      </c>
      <c r="B1959" t="s">
        <v>1154</v>
      </c>
      <c r="C1959" t="s">
        <v>65</v>
      </c>
      <c r="D1959" s="2">
        <v>3745.47</v>
      </c>
      <c r="E1959">
        <v>2</v>
      </c>
      <c r="F1959">
        <v>0.3</v>
      </c>
      <c r="G1959" t="s">
        <v>19</v>
      </c>
      <c r="H1959" t="s">
        <v>21</v>
      </c>
      <c r="I1959" t="s">
        <v>20</v>
      </c>
      <c r="J1959" s="2">
        <f>Table1_1[[#This Row],[Sales]]-Table1_1[[#This Row],[Sales]]*Table1_1[[#This Row],[Discount]]</f>
        <v>2621.8289999999997</v>
      </c>
      <c r="K1959" s="1">
        <v>45537</v>
      </c>
      <c r="L1959" s="11">
        <v>45539</v>
      </c>
      <c r="M1959">
        <f>DATEDIF(Table1_1[[#This Row],[Order Date]],Table1_1[[#This Row],[Ship Date]],"D")</f>
        <v>2</v>
      </c>
    </row>
    <row r="1960" spans="1:13" x14ac:dyDescent="0.35">
      <c r="A1960" t="s">
        <v>2376</v>
      </c>
      <c r="B1960" t="s">
        <v>349</v>
      </c>
      <c r="C1960" t="s">
        <v>105</v>
      </c>
      <c r="D1960" s="2">
        <v>1408.78</v>
      </c>
      <c r="E1960">
        <v>7</v>
      </c>
      <c r="F1960">
        <v>0</v>
      </c>
      <c r="G1960" t="s">
        <v>14</v>
      </c>
      <c r="H1960" t="s">
        <v>21</v>
      </c>
      <c r="I1960" t="s">
        <v>20</v>
      </c>
      <c r="J1960" s="2">
        <f>Table1_1[[#This Row],[Sales]]-Table1_1[[#This Row],[Sales]]*Table1_1[[#This Row],[Discount]]</f>
        <v>1408.78</v>
      </c>
      <c r="K1960" s="1">
        <v>45011</v>
      </c>
      <c r="L1960" s="11">
        <v>45017</v>
      </c>
      <c r="M1960">
        <f>DATEDIF(Table1_1[[#This Row],[Order Date]],Table1_1[[#This Row],[Ship Date]],"D")</f>
        <v>6</v>
      </c>
    </row>
    <row r="1961" spans="1:13" x14ac:dyDescent="0.35">
      <c r="A1961" t="s">
        <v>2377</v>
      </c>
      <c r="B1961" t="s">
        <v>492</v>
      </c>
      <c r="C1961" t="s">
        <v>163</v>
      </c>
      <c r="D1961" s="2">
        <v>1277.99</v>
      </c>
      <c r="E1961">
        <v>5</v>
      </c>
      <c r="F1961">
        <v>0.1</v>
      </c>
      <c r="G1961" t="s">
        <v>14</v>
      </c>
      <c r="H1961" t="s">
        <v>15</v>
      </c>
      <c r="I1961" t="s">
        <v>20</v>
      </c>
      <c r="J1961" s="2">
        <f>Table1_1[[#This Row],[Sales]]-Table1_1[[#This Row],[Sales]]*Table1_1[[#This Row],[Discount]]</f>
        <v>1150.191</v>
      </c>
      <c r="K1961" s="1">
        <v>45371</v>
      </c>
      <c r="L1961" s="11">
        <v>45373</v>
      </c>
      <c r="M1961">
        <f>DATEDIF(Table1_1[[#This Row],[Order Date]],Table1_1[[#This Row],[Ship Date]],"D")</f>
        <v>2</v>
      </c>
    </row>
    <row r="1962" spans="1:13" x14ac:dyDescent="0.35">
      <c r="A1962" t="s">
        <v>2378</v>
      </c>
      <c r="B1962" t="s">
        <v>438</v>
      </c>
      <c r="C1962" t="s">
        <v>220</v>
      </c>
      <c r="D1962" s="2">
        <v>3871.34</v>
      </c>
      <c r="E1962">
        <v>2</v>
      </c>
      <c r="F1962">
        <v>0.1</v>
      </c>
      <c r="G1962" t="s">
        <v>14</v>
      </c>
      <c r="H1962" t="s">
        <v>21</v>
      </c>
      <c r="I1962" t="s">
        <v>16</v>
      </c>
      <c r="J1962" s="2">
        <f>Table1_1[[#This Row],[Sales]]-Table1_1[[#This Row],[Sales]]*Table1_1[[#This Row],[Discount]]</f>
        <v>3484.2060000000001</v>
      </c>
      <c r="K1962" s="1">
        <v>45553</v>
      </c>
      <c r="L1962" s="11">
        <v>45560</v>
      </c>
      <c r="M1962">
        <f>DATEDIF(Table1_1[[#This Row],[Order Date]],Table1_1[[#This Row],[Ship Date]],"D")</f>
        <v>7</v>
      </c>
    </row>
    <row r="1963" spans="1:13" x14ac:dyDescent="0.35">
      <c r="A1963" t="s">
        <v>2379</v>
      </c>
      <c r="B1963" t="s">
        <v>165</v>
      </c>
      <c r="C1963" t="s">
        <v>229</v>
      </c>
      <c r="D1963" s="2">
        <v>3217.34</v>
      </c>
      <c r="E1963">
        <v>7</v>
      </c>
      <c r="F1963">
        <v>0.2</v>
      </c>
      <c r="G1963" t="s">
        <v>19</v>
      </c>
      <c r="H1963" t="s">
        <v>15</v>
      </c>
      <c r="I1963" t="s">
        <v>20</v>
      </c>
      <c r="J1963" s="2">
        <f>Table1_1[[#This Row],[Sales]]-Table1_1[[#This Row],[Sales]]*Table1_1[[#This Row],[Discount]]</f>
        <v>2573.8720000000003</v>
      </c>
      <c r="K1963" s="1">
        <v>45098</v>
      </c>
      <c r="L1963" s="11">
        <v>45101</v>
      </c>
      <c r="M1963">
        <f>DATEDIF(Table1_1[[#This Row],[Order Date]],Table1_1[[#This Row],[Ship Date]],"D")</f>
        <v>3</v>
      </c>
    </row>
    <row r="1964" spans="1:13" x14ac:dyDescent="0.35">
      <c r="A1964" t="s">
        <v>2380</v>
      </c>
      <c r="B1964" t="s">
        <v>1002</v>
      </c>
      <c r="C1964" t="s">
        <v>204</v>
      </c>
      <c r="D1964" s="2">
        <v>4024.86</v>
      </c>
      <c r="E1964">
        <v>9</v>
      </c>
      <c r="F1964">
        <v>0</v>
      </c>
      <c r="G1964" t="s">
        <v>14</v>
      </c>
      <c r="H1964" t="s">
        <v>21</v>
      </c>
      <c r="I1964" t="s">
        <v>43</v>
      </c>
      <c r="J1964" s="2">
        <f>Table1_1[[#This Row],[Sales]]-Table1_1[[#This Row],[Sales]]*Table1_1[[#This Row],[Discount]]</f>
        <v>4024.86</v>
      </c>
      <c r="K1964" s="1">
        <v>45607</v>
      </c>
      <c r="L1964" s="11">
        <v>45611</v>
      </c>
      <c r="M1964">
        <f>DATEDIF(Table1_1[[#This Row],[Order Date]],Table1_1[[#This Row],[Ship Date]],"D")</f>
        <v>4</v>
      </c>
    </row>
    <row r="1965" spans="1:13" x14ac:dyDescent="0.35">
      <c r="A1965" t="s">
        <v>2381</v>
      </c>
      <c r="B1965" t="s">
        <v>394</v>
      </c>
      <c r="C1965" t="s">
        <v>384</v>
      </c>
      <c r="D1965" s="2">
        <v>3127.84</v>
      </c>
      <c r="E1965">
        <v>8</v>
      </c>
      <c r="F1965">
        <v>0.2</v>
      </c>
      <c r="G1965" t="s">
        <v>39</v>
      </c>
      <c r="H1965" t="s">
        <v>15</v>
      </c>
      <c r="I1965" t="s">
        <v>43</v>
      </c>
      <c r="J1965" s="2">
        <f>Table1_1[[#This Row],[Sales]]-Table1_1[[#This Row],[Sales]]*Table1_1[[#This Row],[Discount]]</f>
        <v>2502.2719999999999</v>
      </c>
      <c r="K1965" s="1">
        <v>44929</v>
      </c>
      <c r="L1965" s="11">
        <v>44935</v>
      </c>
      <c r="M1965">
        <f>DATEDIF(Table1_1[[#This Row],[Order Date]],Table1_1[[#This Row],[Ship Date]],"D")</f>
        <v>6</v>
      </c>
    </row>
    <row r="1966" spans="1:13" x14ac:dyDescent="0.35">
      <c r="A1966" t="s">
        <v>2382</v>
      </c>
      <c r="B1966" t="s">
        <v>258</v>
      </c>
      <c r="C1966" t="s">
        <v>354</v>
      </c>
      <c r="D1966" s="2">
        <v>664.74</v>
      </c>
      <c r="E1966">
        <v>10</v>
      </c>
      <c r="F1966">
        <v>0.1</v>
      </c>
      <c r="G1966" t="s">
        <v>14</v>
      </c>
      <c r="H1966" t="s">
        <v>21</v>
      </c>
      <c r="I1966" t="s">
        <v>20</v>
      </c>
      <c r="J1966" s="2">
        <f>Table1_1[[#This Row],[Sales]]-Table1_1[[#This Row],[Sales]]*Table1_1[[#This Row],[Discount]]</f>
        <v>598.26599999999996</v>
      </c>
      <c r="K1966" s="1">
        <v>45168</v>
      </c>
      <c r="L1966" s="11">
        <v>45170</v>
      </c>
      <c r="M1966">
        <f>DATEDIF(Table1_1[[#This Row],[Order Date]],Table1_1[[#This Row],[Ship Date]],"D")</f>
        <v>2</v>
      </c>
    </row>
    <row r="1967" spans="1:13" x14ac:dyDescent="0.35">
      <c r="A1967" t="s">
        <v>2383</v>
      </c>
      <c r="B1967" t="s">
        <v>275</v>
      </c>
      <c r="C1967" t="s">
        <v>185</v>
      </c>
      <c r="D1967" s="2">
        <v>1650.38</v>
      </c>
      <c r="E1967">
        <v>2</v>
      </c>
      <c r="F1967">
        <v>0.1</v>
      </c>
      <c r="G1967" t="s">
        <v>14</v>
      </c>
      <c r="H1967" t="s">
        <v>15</v>
      </c>
      <c r="I1967" t="s">
        <v>20</v>
      </c>
      <c r="J1967" s="2">
        <f>Table1_1[[#This Row],[Sales]]-Table1_1[[#This Row],[Sales]]*Table1_1[[#This Row],[Discount]]</f>
        <v>1485.3420000000001</v>
      </c>
      <c r="K1967" s="1">
        <v>45290</v>
      </c>
      <c r="L1967" s="11">
        <v>45297</v>
      </c>
      <c r="M1967">
        <f>DATEDIF(Table1_1[[#This Row],[Order Date]],Table1_1[[#This Row],[Ship Date]],"D")</f>
        <v>7</v>
      </c>
    </row>
    <row r="1968" spans="1:13" x14ac:dyDescent="0.35">
      <c r="A1968" t="s">
        <v>2384</v>
      </c>
      <c r="B1968" t="s">
        <v>201</v>
      </c>
      <c r="C1968" t="s">
        <v>388</v>
      </c>
      <c r="D1968" s="2">
        <v>4993.0200000000004</v>
      </c>
      <c r="E1968">
        <v>7</v>
      </c>
      <c r="F1968">
        <v>0.1</v>
      </c>
      <c r="G1968" t="s">
        <v>39</v>
      </c>
      <c r="H1968" t="s">
        <v>21</v>
      </c>
      <c r="I1968" t="s">
        <v>43</v>
      </c>
      <c r="J1968" s="2">
        <f>Table1_1[[#This Row],[Sales]]-Table1_1[[#This Row],[Sales]]*Table1_1[[#This Row],[Discount]]</f>
        <v>4493.7180000000008</v>
      </c>
      <c r="K1968" s="1">
        <v>45009</v>
      </c>
      <c r="L1968" s="11">
        <v>45011</v>
      </c>
      <c r="M1968">
        <f>DATEDIF(Table1_1[[#This Row],[Order Date]],Table1_1[[#This Row],[Ship Date]],"D")</f>
        <v>2</v>
      </c>
    </row>
    <row r="1969" spans="1:13" x14ac:dyDescent="0.35">
      <c r="A1969" t="s">
        <v>2385</v>
      </c>
      <c r="B1969" t="s">
        <v>1299</v>
      </c>
      <c r="C1969" t="s">
        <v>77</v>
      </c>
      <c r="D1969" s="2">
        <v>1388.53</v>
      </c>
      <c r="E1969">
        <v>3</v>
      </c>
      <c r="F1969">
        <v>0.1</v>
      </c>
      <c r="G1969" t="s">
        <v>14</v>
      </c>
      <c r="H1969" t="s">
        <v>21</v>
      </c>
      <c r="I1969" t="s">
        <v>20</v>
      </c>
      <c r="J1969" s="2">
        <f>Table1_1[[#This Row],[Sales]]-Table1_1[[#This Row],[Sales]]*Table1_1[[#This Row],[Discount]]</f>
        <v>1249.6769999999999</v>
      </c>
      <c r="K1969" s="1">
        <v>45609</v>
      </c>
      <c r="L1969" s="11">
        <v>45615</v>
      </c>
      <c r="M1969">
        <f>DATEDIF(Table1_1[[#This Row],[Order Date]],Table1_1[[#This Row],[Ship Date]],"D")</f>
        <v>6</v>
      </c>
    </row>
    <row r="1970" spans="1:13" x14ac:dyDescent="0.35">
      <c r="A1970" t="s">
        <v>2386</v>
      </c>
      <c r="B1970" t="s">
        <v>738</v>
      </c>
      <c r="C1970" t="s">
        <v>310</v>
      </c>
      <c r="D1970" s="2">
        <v>2805.93</v>
      </c>
      <c r="E1970">
        <v>5</v>
      </c>
      <c r="F1970">
        <v>0</v>
      </c>
      <c r="G1970" t="s">
        <v>39</v>
      </c>
      <c r="H1970" t="s">
        <v>15</v>
      </c>
      <c r="I1970" t="s">
        <v>43</v>
      </c>
      <c r="J1970" s="2">
        <f>Table1_1[[#This Row],[Sales]]-Table1_1[[#This Row],[Sales]]*Table1_1[[#This Row],[Discount]]</f>
        <v>2805.93</v>
      </c>
      <c r="K1970" s="1">
        <v>45250</v>
      </c>
      <c r="L1970" s="11">
        <v>45257</v>
      </c>
      <c r="M1970">
        <f>DATEDIF(Table1_1[[#This Row],[Order Date]],Table1_1[[#This Row],[Ship Date]],"D")</f>
        <v>7</v>
      </c>
    </row>
    <row r="1971" spans="1:13" x14ac:dyDescent="0.35">
      <c r="A1971" t="s">
        <v>2387</v>
      </c>
      <c r="B1971" t="s">
        <v>387</v>
      </c>
      <c r="C1971" t="s">
        <v>190</v>
      </c>
      <c r="D1971" s="2">
        <v>979.92</v>
      </c>
      <c r="E1971">
        <v>10</v>
      </c>
      <c r="F1971">
        <v>0</v>
      </c>
      <c r="G1971" t="s">
        <v>14</v>
      </c>
      <c r="H1971" t="s">
        <v>15</v>
      </c>
      <c r="I1971" t="s">
        <v>16</v>
      </c>
      <c r="J1971" s="2">
        <f>Table1_1[[#This Row],[Sales]]-Table1_1[[#This Row],[Sales]]*Table1_1[[#This Row],[Discount]]</f>
        <v>979.92</v>
      </c>
      <c r="K1971" s="1">
        <v>45208</v>
      </c>
      <c r="L1971" s="11">
        <v>45211</v>
      </c>
      <c r="M1971">
        <f>DATEDIF(Table1_1[[#This Row],[Order Date]],Table1_1[[#This Row],[Ship Date]],"D")</f>
        <v>3</v>
      </c>
    </row>
    <row r="1972" spans="1:13" x14ac:dyDescent="0.35">
      <c r="A1972" t="s">
        <v>2388</v>
      </c>
      <c r="B1972" t="s">
        <v>56</v>
      </c>
      <c r="C1972" t="s">
        <v>726</v>
      </c>
      <c r="D1972" s="2">
        <v>4721.3599999999997</v>
      </c>
      <c r="E1972">
        <v>1</v>
      </c>
      <c r="F1972">
        <v>0</v>
      </c>
      <c r="G1972" t="s">
        <v>19</v>
      </c>
      <c r="H1972" t="s">
        <v>21</v>
      </c>
      <c r="I1972" t="s">
        <v>43</v>
      </c>
      <c r="J1972" s="2">
        <f>Table1_1[[#This Row],[Sales]]-Table1_1[[#This Row],[Sales]]*Table1_1[[#This Row],[Discount]]</f>
        <v>4721.3599999999997</v>
      </c>
      <c r="K1972" s="1">
        <v>45741</v>
      </c>
      <c r="L1972" s="11">
        <v>45748</v>
      </c>
      <c r="M1972">
        <f>DATEDIF(Table1_1[[#This Row],[Order Date]],Table1_1[[#This Row],[Ship Date]],"D")</f>
        <v>7</v>
      </c>
    </row>
    <row r="1973" spans="1:13" x14ac:dyDescent="0.35">
      <c r="A1973" t="s">
        <v>2389</v>
      </c>
      <c r="B1973" t="s">
        <v>2026</v>
      </c>
      <c r="C1973" t="s">
        <v>197</v>
      </c>
      <c r="D1973" s="2">
        <v>1276.92</v>
      </c>
      <c r="E1973">
        <v>2</v>
      </c>
      <c r="F1973">
        <v>0</v>
      </c>
      <c r="G1973" t="s">
        <v>14</v>
      </c>
      <c r="H1973" t="s">
        <v>21</v>
      </c>
      <c r="I1973" t="s">
        <v>16</v>
      </c>
      <c r="J1973" s="2">
        <f>Table1_1[[#This Row],[Sales]]-Table1_1[[#This Row],[Sales]]*Table1_1[[#This Row],[Discount]]</f>
        <v>1276.92</v>
      </c>
      <c r="K1973" s="1">
        <v>45103</v>
      </c>
      <c r="L1973" s="11">
        <v>45108</v>
      </c>
      <c r="M1973">
        <f>DATEDIF(Table1_1[[#This Row],[Order Date]],Table1_1[[#This Row],[Ship Date]],"D")</f>
        <v>5</v>
      </c>
    </row>
    <row r="1974" spans="1:13" x14ac:dyDescent="0.35">
      <c r="A1974" t="s">
        <v>2390</v>
      </c>
      <c r="B1974" t="s">
        <v>505</v>
      </c>
      <c r="C1974" t="s">
        <v>376</v>
      </c>
      <c r="D1974" s="2">
        <v>2930.54</v>
      </c>
      <c r="E1974">
        <v>9</v>
      </c>
      <c r="F1974">
        <v>0.2</v>
      </c>
      <c r="G1974" t="s">
        <v>14</v>
      </c>
      <c r="H1974" t="s">
        <v>15</v>
      </c>
      <c r="I1974" t="s">
        <v>16</v>
      </c>
      <c r="J1974" s="2">
        <f>Table1_1[[#This Row],[Sales]]-Table1_1[[#This Row],[Sales]]*Table1_1[[#This Row],[Discount]]</f>
        <v>2344.4319999999998</v>
      </c>
      <c r="K1974" s="1">
        <v>45666</v>
      </c>
      <c r="L1974" s="11">
        <v>45672</v>
      </c>
      <c r="M1974">
        <f>DATEDIF(Table1_1[[#This Row],[Order Date]],Table1_1[[#This Row],[Ship Date]],"D")</f>
        <v>6</v>
      </c>
    </row>
    <row r="1975" spans="1:13" x14ac:dyDescent="0.35">
      <c r="A1975" t="s">
        <v>2391</v>
      </c>
      <c r="B1975" t="s">
        <v>544</v>
      </c>
      <c r="C1975" t="s">
        <v>207</v>
      </c>
      <c r="D1975" s="2">
        <v>4025.55</v>
      </c>
      <c r="E1975">
        <v>8</v>
      </c>
      <c r="F1975">
        <v>0.1</v>
      </c>
      <c r="G1975" t="s">
        <v>14</v>
      </c>
      <c r="H1975" t="s">
        <v>15</v>
      </c>
      <c r="I1975" t="s">
        <v>16</v>
      </c>
      <c r="J1975" s="2">
        <f>Table1_1[[#This Row],[Sales]]-Table1_1[[#This Row],[Sales]]*Table1_1[[#This Row],[Discount]]</f>
        <v>3622.9949999999999</v>
      </c>
      <c r="K1975" s="1">
        <v>45590</v>
      </c>
      <c r="L1975" s="11">
        <v>45594</v>
      </c>
      <c r="M1975">
        <f>DATEDIF(Table1_1[[#This Row],[Order Date]],Table1_1[[#This Row],[Ship Date]],"D")</f>
        <v>4</v>
      </c>
    </row>
    <row r="1976" spans="1:13" x14ac:dyDescent="0.35">
      <c r="A1976" t="s">
        <v>2392</v>
      </c>
      <c r="B1976" t="s">
        <v>556</v>
      </c>
      <c r="C1976" t="s">
        <v>185</v>
      </c>
      <c r="D1976" s="2">
        <v>3118.67</v>
      </c>
      <c r="E1976">
        <v>2</v>
      </c>
      <c r="F1976">
        <v>0</v>
      </c>
      <c r="G1976" t="s">
        <v>14</v>
      </c>
      <c r="H1976" t="s">
        <v>21</v>
      </c>
      <c r="I1976" t="s">
        <v>43</v>
      </c>
      <c r="J1976" s="2">
        <f>Table1_1[[#This Row],[Sales]]-Table1_1[[#This Row],[Sales]]*Table1_1[[#This Row],[Discount]]</f>
        <v>3118.67</v>
      </c>
      <c r="K1976" s="1">
        <v>45627</v>
      </c>
      <c r="L1976" s="11">
        <v>45632</v>
      </c>
      <c r="M1976">
        <f>DATEDIF(Table1_1[[#This Row],[Order Date]],Table1_1[[#This Row],[Ship Date]],"D")</f>
        <v>5</v>
      </c>
    </row>
    <row r="1977" spans="1:13" x14ac:dyDescent="0.35">
      <c r="A1977" t="s">
        <v>2393</v>
      </c>
      <c r="B1977" t="s">
        <v>314</v>
      </c>
      <c r="C1977" t="s">
        <v>223</v>
      </c>
      <c r="D1977" s="2">
        <v>3202.16</v>
      </c>
      <c r="E1977">
        <v>6</v>
      </c>
      <c r="F1977">
        <v>0.2</v>
      </c>
      <c r="G1977" t="s">
        <v>19</v>
      </c>
      <c r="H1977" t="s">
        <v>15</v>
      </c>
      <c r="I1977" t="s">
        <v>43</v>
      </c>
      <c r="J1977" s="2">
        <f>Table1_1[[#This Row],[Sales]]-Table1_1[[#This Row],[Sales]]*Table1_1[[#This Row],[Discount]]</f>
        <v>2561.7280000000001</v>
      </c>
      <c r="K1977" s="1">
        <v>45633</v>
      </c>
      <c r="L1977" s="11">
        <v>45634</v>
      </c>
      <c r="M1977">
        <f>DATEDIF(Table1_1[[#This Row],[Order Date]],Table1_1[[#This Row],[Ship Date]],"D")</f>
        <v>1</v>
      </c>
    </row>
    <row r="1978" spans="1:13" x14ac:dyDescent="0.35">
      <c r="A1978" t="s">
        <v>2394</v>
      </c>
      <c r="B1978" t="s">
        <v>48</v>
      </c>
      <c r="C1978" t="s">
        <v>105</v>
      </c>
      <c r="D1978" s="2">
        <v>3585.99</v>
      </c>
      <c r="E1978">
        <v>10</v>
      </c>
      <c r="F1978">
        <v>0.3</v>
      </c>
      <c r="G1978" t="s">
        <v>14</v>
      </c>
      <c r="H1978" t="s">
        <v>15</v>
      </c>
      <c r="I1978" t="s">
        <v>43</v>
      </c>
      <c r="J1978" s="2">
        <f>Table1_1[[#This Row],[Sales]]-Table1_1[[#This Row],[Sales]]*Table1_1[[#This Row],[Discount]]</f>
        <v>2510.1930000000002</v>
      </c>
      <c r="K1978" s="1">
        <v>45537</v>
      </c>
      <c r="L1978" s="11">
        <v>45539</v>
      </c>
      <c r="M1978">
        <f>DATEDIF(Table1_1[[#This Row],[Order Date]],Table1_1[[#This Row],[Ship Date]],"D")</f>
        <v>2</v>
      </c>
    </row>
    <row r="1979" spans="1:13" x14ac:dyDescent="0.35">
      <c r="A1979" t="s">
        <v>2395</v>
      </c>
      <c r="B1979" t="s">
        <v>233</v>
      </c>
      <c r="C1979" t="s">
        <v>46</v>
      </c>
      <c r="D1979" s="2">
        <v>179.26</v>
      </c>
      <c r="E1979">
        <v>3</v>
      </c>
      <c r="F1979">
        <v>0.3</v>
      </c>
      <c r="G1979" t="s">
        <v>39</v>
      </c>
      <c r="H1979" t="s">
        <v>21</v>
      </c>
      <c r="I1979" t="s">
        <v>20</v>
      </c>
      <c r="J1979" s="2">
        <f>Table1_1[[#This Row],[Sales]]-Table1_1[[#This Row],[Sales]]*Table1_1[[#This Row],[Discount]]</f>
        <v>125.482</v>
      </c>
      <c r="K1979" s="1">
        <v>45443</v>
      </c>
      <c r="L1979" s="11">
        <v>45447</v>
      </c>
      <c r="M1979">
        <f>DATEDIF(Table1_1[[#This Row],[Order Date]],Table1_1[[#This Row],[Ship Date]],"D")</f>
        <v>4</v>
      </c>
    </row>
    <row r="1980" spans="1:13" x14ac:dyDescent="0.35">
      <c r="A1980" t="s">
        <v>2396</v>
      </c>
      <c r="B1980" t="s">
        <v>532</v>
      </c>
      <c r="C1980" t="s">
        <v>487</v>
      </c>
      <c r="D1980" s="2">
        <v>833.01</v>
      </c>
      <c r="E1980">
        <v>7</v>
      </c>
      <c r="F1980">
        <v>0.1</v>
      </c>
      <c r="G1980" t="s">
        <v>19</v>
      </c>
      <c r="H1980" t="s">
        <v>15</v>
      </c>
      <c r="I1980" t="s">
        <v>43</v>
      </c>
      <c r="J1980" s="2">
        <f>Table1_1[[#This Row],[Sales]]-Table1_1[[#This Row],[Sales]]*Table1_1[[#This Row],[Discount]]</f>
        <v>749.70899999999995</v>
      </c>
      <c r="K1980" s="1">
        <v>45657</v>
      </c>
      <c r="L1980" s="11">
        <v>45663</v>
      </c>
      <c r="M1980">
        <f>DATEDIF(Table1_1[[#This Row],[Order Date]],Table1_1[[#This Row],[Ship Date]],"D")</f>
        <v>6</v>
      </c>
    </row>
    <row r="1981" spans="1:13" x14ac:dyDescent="0.35">
      <c r="A1981" t="s">
        <v>2397</v>
      </c>
      <c r="B1981" t="s">
        <v>621</v>
      </c>
      <c r="C1981" t="s">
        <v>220</v>
      </c>
      <c r="D1981" s="2">
        <v>4613.2700000000004</v>
      </c>
      <c r="E1981">
        <v>1</v>
      </c>
      <c r="F1981">
        <v>0</v>
      </c>
      <c r="G1981" t="s">
        <v>14</v>
      </c>
      <c r="H1981" t="s">
        <v>21</v>
      </c>
      <c r="I1981" t="s">
        <v>16</v>
      </c>
      <c r="J1981" s="2">
        <f>Table1_1[[#This Row],[Sales]]-Table1_1[[#This Row],[Sales]]*Table1_1[[#This Row],[Discount]]</f>
        <v>4613.2700000000004</v>
      </c>
      <c r="K1981" s="1">
        <v>45089</v>
      </c>
      <c r="L1981" s="11">
        <v>45095</v>
      </c>
      <c r="M1981">
        <f>DATEDIF(Table1_1[[#This Row],[Order Date]],Table1_1[[#This Row],[Ship Date]],"D")</f>
        <v>6</v>
      </c>
    </row>
    <row r="1982" spans="1:13" x14ac:dyDescent="0.35">
      <c r="A1982" t="s">
        <v>2398</v>
      </c>
      <c r="B1982" t="s">
        <v>156</v>
      </c>
      <c r="C1982" t="s">
        <v>408</v>
      </c>
      <c r="D1982" s="2">
        <v>3980.37</v>
      </c>
      <c r="E1982">
        <v>2</v>
      </c>
      <c r="F1982">
        <v>0.3</v>
      </c>
      <c r="G1982" t="s">
        <v>14</v>
      </c>
      <c r="H1982" t="s">
        <v>21</v>
      </c>
      <c r="I1982" t="s">
        <v>43</v>
      </c>
      <c r="J1982" s="2">
        <f>Table1_1[[#This Row],[Sales]]-Table1_1[[#This Row],[Sales]]*Table1_1[[#This Row],[Discount]]</f>
        <v>2786.259</v>
      </c>
      <c r="K1982" s="1">
        <v>45347</v>
      </c>
      <c r="L1982" s="11">
        <v>45349</v>
      </c>
      <c r="M1982">
        <f>DATEDIF(Table1_1[[#This Row],[Order Date]],Table1_1[[#This Row],[Ship Date]],"D")</f>
        <v>2</v>
      </c>
    </row>
    <row r="1983" spans="1:13" x14ac:dyDescent="0.35">
      <c r="A1983" t="s">
        <v>2399</v>
      </c>
      <c r="B1983" t="s">
        <v>1355</v>
      </c>
      <c r="C1983" t="s">
        <v>207</v>
      </c>
      <c r="D1983" s="2">
        <v>102.78</v>
      </c>
      <c r="E1983">
        <v>6</v>
      </c>
      <c r="F1983">
        <v>0.2</v>
      </c>
      <c r="G1983" t="s">
        <v>14</v>
      </c>
      <c r="H1983" t="s">
        <v>15</v>
      </c>
      <c r="I1983" t="s">
        <v>16</v>
      </c>
      <c r="J1983" s="2">
        <f>Table1_1[[#This Row],[Sales]]-Table1_1[[#This Row],[Sales]]*Table1_1[[#This Row],[Discount]]</f>
        <v>82.224000000000004</v>
      </c>
      <c r="K1983" s="1">
        <v>45734</v>
      </c>
      <c r="L1983" s="11">
        <v>45736</v>
      </c>
      <c r="M1983">
        <f>DATEDIF(Table1_1[[#This Row],[Order Date]],Table1_1[[#This Row],[Ship Date]],"D")</f>
        <v>2</v>
      </c>
    </row>
    <row r="1984" spans="1:13" x14ac:dyDescent="0.35">
      <c r="A1984" t="s">
        <v>2400</v>
      </c>
      <c r="B1984" t="s">
        <v>575</v>
      </c>
      <c r="C1984" t="s">
        <v>436</v>
      </c>
      <c r="D1984" s="2">
        <v>766.7</v>
      </c>
      <c r="E1984">
        <v>5</v>
      </c>
      <c r="F1984">
        <v>0</v>
      </c>
      <c r="G1984" t="s">
        <v>39</v>
      </c>
      <c r="H1984" t="s">
        <v>15</v>
      </c>
      <c r="I1984" t="s">
        <v>16</v>
      </c>
      <c r="J1984" s="2">
        <f>Table1_1[[#This Row],[Sales]]-Table1_1[[#This Row],[Sales]]*Table1_1[[#This Row],[Discount]]</f>
        <v>766.7</v>
      </c>
      <c r="K1984" s="1">
        <v>45823</v>
      </c>
      <c r="L1984" s="11">
        <v>45826</v>
      </c>
      <c r="M1984">
        <f>DATEDIF(Table1_1[[#This Row],[Order Date]],Table1_1[[#This Row],[Ship Date]],"D")</f>
        <v>3</v>
      </c>
    </row>
    <row r="1985" spans="1:13" x14ac:dyDescent="0.35">
      <c r="A1985" t="s">
        <v>2401</v>
      </c>
      <c r="B1985" t="s">
        <v>1069</v>
      </c>
      <c r="C1985" t="s">
        <v>146</v>
      </c>
      <c r="D1985" s="2">
        <v>2521.0700000000002</v>
      </c>
      <c r="E1985">
        <v>9</v>
      </c>
      <c r="F1985">
        <v>0.2</v>
      </c>
      <c r="G1985" t="s">
        <v>19</v>
      </c>
      <c r="H1985" t="s">
        <v>15</v>
      </c>
      <c r="I1985" t="s">
        <v>20</v>
      </c>
      <c r="J1985" s="2">
        <f>Table1_1[[#This Row],[Sales]]-Table1_1[[#This Row],[Sales]]*Table1_1[[#This Row],[Discount]]</f>
        <v>2016.8560000000002</v>
      </c>
      <c r="K1985" s="1">
        <v>45753</v>
      </c>
      <c r="L1985" s="11">
        <v>45755</v>
      </c>
      <c r="M1985">
        <f>DATEDIF(Table1_1[[#This Row],[Order Date]],Table1_1[[#This Row],[Ship Date]],"D")</f>
        <v>2</v>
      </c>
    </row>
    <row r="1986" spans="1:13" x14ac:dyDescent="0.35">
      <c r="A1986" t="s">
        <v>2402</v>
      </c>
      <c r="B1986" t="s">
        <v>518</v>
      </c>
      <c r="C1986" t="s">
        <v>273</v>
      </c>
      <c r="D1986" s="2">
        <v>4524.32</v>
      </c>
      <c r="E1986">
        <v>3</v>
      </c>
      <c r="F1986">
        <v>0.1</v>
      </c>
      <c r="G1986" t="s">
        <v>14</v>
      </c>
      <c r="H1986" t="s">
        <v>15</v>
      </c>
      <c r="I1986" t="s">
        <v>16</v>
      </c>
      <c r="J1986" s="2">
        <f>Table1_1[[#This Row],[Sales]]-Table1_1[[#This Row],[Sales]]*Table1_1[[#This Row],[Discount]]</f>
        <v>4071.8879999999999</v>
      </c>
      <c r="K1986" s="1">
        <v>44959</v>
      </c>
      <c r="L1986" s="11">
        <v>44966</v>
      </c>
      <c r="M1986">
        <f>DATEDIF(Table1_1[[#This Row],[Order Date]],Table1_1[[#This Row],[Ship Date]],"D")</f>
        <v>7</v>
      </c>
    </row>
    <row r="1987" spans="1:13" x14ac:dyDescent="0.35">
      <c r="A1987" t="s">
        <v>2403</v>
      </c>
      <c r="B1987" t="s">
        <v>45</v>
      </c>
      <c r="C1987" t="s">
        <v>157</v>
      </c>
      <c r="D1987" s="2">
        <v>2656.43</v>
      </c>
      <c r="E1987">
        <v>9</v>
      </c>
      <c r="F1987">
        <v>0.3</v>
      </c>
      <c r="G1987" t="s">
        <v>39</v>
      </c>
      <c r="H1987" t="s">
        <v>15</v>
      </c>
      <c r="I1987" t="s">
        <v>43</v>
      </c>
      <c r="J1987" s="2">
        <f>Table1_1[[#This Row],[Sales]]-Table1_1[[#This Row],[Sales]]*Table1_1[[#This Row],[Discount]]</f>
        <v>1859.5009999999997</v>
      </c>
      <c r="K1987" s="1">
        <v>45559</v>
      </c>
      <c r="L1987" s="11">
        <v>45561</v>
      </c>
      <c r="M1987">
        <f>DATEDIF(Table1_1[[#This Row],[Order Date]],Table1_1[[#This Row],[Ship Date]],"D")</f>
        <v>2</v>
      </c>
    </row>
    <row r="1988" spans="1:13" x14ac:dyDescent="0.35">
      <c r="A1988" t="s">
        <v>2404</v>
      </c>
      <c r="B1988" t="s">
        <v>394</v>
      </c>
      <c r="C1988" t="s">
        <v>281</v>
      </c>
      <c r="D1988" s="2">
        <v>104.59</v>
      </c>
      <c r="E1988">
        <v>3</v>
      </c>
      <c r="F1988">
        <v>0.2</v>
      </c>
      <c r="G1988" t="s">
        <v>39</v>
      </c>
      <c r="H1988" t="s">
        <v>15</v>
      </c>
      <c r="I1988" t="s">
        <v>16</v>
      </c>
      <c r="J1988" s="2">
        <f>Table1_1[[#This Row],[Sales]]-Table1_1[[#This Row],[Sales]]*Table1_1[[#This Row],[Discount]]</f>
        <v>83.671999999999997</v>
      </c>
      <c r="K1988" s="1">
        <v>45214</v>
      </c>
      <c r="L1988" s="11">
        <v>45216</v>
      </c>
      <c r="M1988">
        <f>DATEDIF(Table1_1[[#This Row],[Order Date]],Table1_1[[#This Row],[Ship Date]],"D")</f>
        <v>2</v>
      </c>
    </row>
    <row r="1989" spans="1:13" x14ac:dyDescent="0.35">
      <c r="A1989" t="s">
        <v>2405</v>
      </c>
      <c r="B1989" t="s">
        <v>1166</v>
      </c>
      <c r="C1989" t="s">
        <v>262</v>
      </c>
      <c r="D1989" s="2">
        <v>4773.38</v>
      </c>
      <c r="E1989">
        <v>10</v>
      </c>
      <c r="F1989">
        <v>0.3</v>
      </c>
      <c r="G1989" t="s">
        <v>39</v>
      </c>
      <c r="H1989" t="s">
        <v>15</v>
      </c>
      <c r="I1989" t="s">
        <v>43</v>
      </c>
      <c r="J1989" s="2">
        <f>Table1_1[[#This Row],[Sales]]-Table1_1[[#This Row],[Sales]]*Table1_1[[#This Row],[Discount]]</f>
        <v>3341.366</v>
      </c>
      <c r="K1989" s="1">
        <v>45582</v>
      </c>
      <c r="L1989" s="11">
        <v>45586</v>
      </c>
      <c r="M1989">
        <f>DATEDIF(Table1_1[[#This Row],[Order Date]],Table1_1[[#This Row],[Ship Date]],"D")</f>
        <v>4</v>
      </c>
    </row>
    <row r="1990" spans="1:13" x14ac:dyDescent="0.35">
      <c r="A1990" t="s">
        <v>2406</v>
      </c>
      <c r="B1990" t="s">
        <v>548</v>
      </c>
      <c r="C1990" t="s">
        <v>329</v>
      </c>
      <c r="D1990" s="2">
        <v>2779.58</v>
      </c>
      <c r="E1990">
        <v>2</v>
      </c>
      <c r="F1990">
        <v>0.3</v>
      </c>
      <c r="G1990" t="s">
        <v>14</v>
      </c>
      <c r="H1990" t="s">
        <v>15</v>
      </c>
      <c r="I1990" t="s">
        <v>16</v>
      </c>
      <c r="J1990" s="2">
        <f>Table1_1[[#This Row],[Sales]]-Table1_1[[#This Row],[Sales]]*Table1_1[[#This Row],[Discount]]</f>
        <v>1945.7060000000001</v>
      </c>
      <c r="K1990" s="1">
        <v>45657</v>
      </c>
      <c r="L1990" s="11">
        <v>45663</v>
      </c>
      <c r="M1990">
        <f>DATEDIF(Table1_1[[#This Row],[Order Date]],Table1_1[[#This Row],[Ship Date]],"D")</f>
        <v>6</v>
      </c>
    </row>
    <row r="1991" spans="1:13" x14ac:dyDescent="0.35">
      <c r="A1991" t="s">
        <v>2407</v>
      </c>
      <c r="B1991" t="s">
        <v>588</v>
      </c>
      <c r="C1991" t="s">
        <v>318</v>
      </c>
      <c r="D1991" s="2">
        <v>2145.9749999999999</v>
      </c>
      <c r="E1991">
        <v>1</v>
      </c>
      <c r="F1991">
        <v>0.2</v>
      </c>
      <c r="G1991" t="s">
        <v>39</v>
      </c>
      <c r="H1991" t="s">
        <v>21</v>
      </c>
      <c r="I1991" t="s">
        <v>43</v>
      </c>
      <c r="J1991" s="2">
        <f>Table1_1[[#This Row],[Sales]]-Table1_1[[#This Row],[Sales]]*Table1_1[[#This Row],[Discount]]</f>
        <v>1716.78</v>
      </c>
      <c r="K1991" s="1">
        <v>45243</v>
      </c>
      <c r="L1991" s="11">
        <v>45244</v>
      </c>
      <c r="M1991">
        <f>DATEDIF(Table1_1[[#This Row],[Order Date]],Table1_1[[#This Row],[Ship Date]],"D")</f>
        <v>1</v>
      </c>
    </row>
    <row r="1992" spans="1:13" x14ac:dyDescent="0.35">
      <c r="A1992" t="s">
        <v>2408</v>
      </c>
      <c r="B1992" t="s">
        <v>855</v>
      </c>
      <c r="C1992" t="s">
        <v>354</v>
      </c>
      <c r="D1992" s="2">
        <v>2617.5700000000002</v>
      </c>
      <c r="E1992">
        <v>10</v>
      </c>
      <c r="F1992">
        <v>0.1</v>
      </c>
      <c r="G1992" t="s">
        <v>14</v>
      </c>
      <c r="H1992" t="s">
        <v>15</v>
      </c>
      <c r="I1992" t="s">
        <v>20</v>
      </c>
      <c r="J1992" s="2">
        <f>Table1_1[[#This Row],[Sales]]-Table1_1[[#This Row],[Sales]]*Table1_1[[#This Row],[Discount]]</f>
        <v>2355.8130000000001</v>
      </c>
      <c r="K1992" s="1">
        <v>45403</v>
      </c>
      <c r="L1992" s="11">
        <v>45406</v>
      </c>
      <c r="M1992">
        <f>DATEDIF(Table1_1[[#This Row],[Order Date]],Table1_1[[#This Row],[Ship Date]],"D")</f>
        <v>3</v>
      </c>
    </row>
    <row r="1993" spans="1:13" x14ac:dyDescent="0.35">
      <c r="A1993" t="s">
        <v>2409</v>
      </c>
      <c r="B1993" t="s">
        <v>770</v>
      </c>
      <c r="C1993" t="s">
        <v>436</v>
      </c>
      <c r="D1993" s="2">
        <v>3471.98</v>
      </c>
      <c r="E1993">
        <v>8</v>
      </c>
      <c r="F1993">
        <v>0.2</v>
      </c>
      <c r="G1993" t="s">
        <v>14</v>
      </c>
      <c r="H1993" t="s">
        <v>15</v>
      </c>
      <c r="I1993" t="s">
        <v>16</v>
      </c>
      <c r="J1993" s="2">
        <f>Table1_1[[#This Row],[Sales]]-Table1_1[[#This Row],[Sales]]*Table1_1[[#This Row],[Discount]]</f>
        <v>2777.5839999999998</v>
      </c>
      <c r="K1993" s="1">
        <v>45562</v>
      </c>
      <c r="L1993" s="11">
        <v>45565</v>
      </c>
      <c r="M1993">
        <f>DATEDIF(Table1_1[[#This Row],[Order Date]],Table1_1[[#This Row],[Ship Date]],"D")</f>
        <v>3</v>
      </c>
    </row>
    <row r="1994" spans="1:13" x14ac:dyDescent="0.35">
      <c r="A1994" t="s">
        <v>2410</v>
      </c>
      <c r="B1994" t="s">
        <v>570</v>
      </c>
      <c r="C1994" t="s">
        <v>105</v>
      </c>
      <c r="D1994" s="2">
        <v>1453.47</v>
      </c>
      <c r="E1994">
        <v>4</v>
      </c>
      <c r="F1994">
        <v>0.2</v>
      </c>
      <c r="G1994" t="s">
        <v>19</v>
      </c>
      <c r="H1994" t="s">
        <v>15</v>
      </c>
      <c r="I1994" t="s">
        <v>16</v>
      </c>
      <c r="J1994" s="2">
        <f>Table1_1[[#This Row],[Sales]]-Table1_1[[#This Row],[Sales]]*Table1_1[[#This Row],[Discount]]</f>
        <v>1162.7760000000001</v>
      </c>
      <c r="K1994" s="1">
        <v>44948</v>
      </c>
      <c r="L1994" s="11">
        <v>44954</v>
      </c>
      <c r="M1994">
        <f>DATEDIF(Table1_1[[#This Row],[Order Date]],Table1_1[[#This Row],[Ship Date]],"D")</f>
        <v>6</v>
      </c>
    </row>
    <row r="1995" spans="1:13" x14ac:dyDescent="0.35">
      <c r="A1995" t="s">
        <v>2411</v>
      </c>
      <c r="B1995" t="s">
        <v>1794</v>
      </c>
      <c r="C1995" t="s">
        <v>163</v>
      </c>
      <c r="D1995" s="2">
        <v>1092.0999999999999</v>
      </c>
      <c r="E1995">
        <v>8</v>
      </c>
      <c r="F1995">
        <v>0.2</v>
      </c>
      <c r="G1995" t="s">
        <v>14</v>
      </c>
      <c r="H1995" t="s">
        <v>15</v>
      </c>
      <c r="I1995" t="s">
        <v>20</v>
      </c>
      <c r="J1995" s="2">
        <f>Table1_1[[#This Row],[Sales]]-Table1_1[[#This Row],[Sales]]*Table1_1[[#This Row],[Discount]]</f>
        <v>873.68</v>
      </c>
      <c r="K1995" s="1">
        <v>45432</v>
      </c>
      <c r="L1995" s="11">
        <v>45435</v>
      </c>
      <c r="M1995">
        <f>DATEDIF(Table1_1[[#This Row],[Order Date]],Table1_1[[#This Row],[Ship Date]],"D")</f>
        <v>3</v>
      </c>
    </row>
    <row r="1996" spans="1:13" x14ac:dyDescent="0.35">
      <c r="A1996" t="s">
        <v>2412</v>
      </c>
      <c r="B1996" t="s">
        <v>30</v>
      </c>
      <c r="C1996" t="s">
        <v>42</v>
      </c>
      <c r="D1996" s="2">
        <v>2880.4</v>
      </c>
      <c r="E1996">
        <v>4</v>
      </c>
      <c r="F1996">
        <v>0.2</v>
      </c>
      <c r="G1996" t="s">
        <v>19</v>
      </c>
      <c r="H1996" t="s">
        <v>21</v>
      </c>
      <c r="I1996" t="s">
        <v>16</v>
      </c>
      <c r="J1996" s="2">
        <f>Table1_1[[#This Row],[Sales]]-Table1_1[[#This Row],[Sales]]*Table1_1[[#This Row],[Discount]]</f>
        <v>2304.3200000000002</v>
      </c>
      <c r="K1996" s="1">
        <v>45206</v>
      </c>
      <c r="L1996" s="11">
        <v>45212</v>
      </c>
      <c r="M1996">
        <f>DATEDIF(Table1_1[[#This Row],[Order Date]],Table1_1[[#This Row],[Ship Date]],"D")</f>
        <v>6</v>
      </c>
    </row>
    <row r="1997" spans="1:13" x14ac:dyDescent="0.35">
      <c r="A1997" t="s">
        <v>2413</v>
      </c>
      <c r="B1997" t="s">
        <v>709</v>
      </c>
      <c r="C1997" t="s">
        <v>135</v>
      </c>
      <c r="D1997" s="2">
        <v>790.29</v>
      </c>
      <c r="E1997">
        <v>4</v>
      </c>
      <c r="F1997">
        <v>0</v>
      </c>
      <c r="G1997" t="s">
        <v>14</v>
      </c>
      <c r="H1997" t="s">
        <v>21</v>
      </c>
      <c r="I1997" t="s">
        <v>43</v>
      </c>
      <c r="J1997" s="2">
        <f>Table1_1[[#This Row],[Sales]]-Table1_1[[#This Row],[Sales]]*Table1_1[[#This Row],[Discount]]</f>
        <v>790.29</v>
      </c>
      <c r="K1997" s="1">
        <v>45179</v>
      </c>
      <c r="L1997" s="11">
        <v>45184</v>
      </c>
      <c r="M1997">
        <f>DATEDIF(Table1_1[[#This Row],[Order Date]],Table1_1[[#This Row],[Ship Date]],"D")</f>
        <v>5</v>
      </c>
    </row>
    <row r="1998" spans="1:13" x14ac:dyDescent="0.35">
      <c r="A1998" t="s">
        <v>2414</v>
      </c>
      <c r="B1998" t="s">
        <v>1178</v>
      </c>
      <c r="C1998" t="s">
        <v>105</v>
      </c>
      <c r="D1998" s="2">
        <v>496.23</v>
      </c>
      <c r="E1998">
        <v>10</v>
      </c>
      <c r="F1998">
        <v>0</v>
      </c>
      <c r="G1998" t="s">
        <v>14</v>
      </c>
      <c r="H1998" t="s">
        <v>21</v>
      </c>
      <c r="I1998" t="s">
        <v>20</v>
      </c>
      <c r="J1998" s="2">
        <f>Table1_1[[#This Row],[Sales]]-Table1_1[[#This Row],[Sales]]*Table1_1[[#This Row],[Discount]]</f>
        <v>496.23</v>
      </c>
      <c r="K1998" s="1">
        <v>45014</v>
      </c>
      <c r="L1998" s="11">
        <v>45020</v>
      </c>
      <c r="M1998">
        <f>DATEDIF(Table1_1[[#This Row],[Order Date]],Table1_1[[#This Row],[Ship Date]],"D")</f>
        <v>6</v>
      </c>
    </row>
    <row r="1999" spans="1:13" x14ac:dyDescent="0.35">
      <c r="A1999" t="s">
        <v>2415</v>
      </c>
      <c r="B1999" t="s">
        <v>548</v>
      </c>
      <c r="C1999" t="s">
        <v>384</v>
      </c>
      <c r="D1999" s="2">
        <v>1151.78</v>
      </c>
      <c r="E1999">
        <v>6</v>
      </c>
      <c r="F1999">
        <v>0</v>
      </c>
      <c r="G1999" t="s">
        <v>14</v>
      </c>
      <c r="H1999" t="s">
        <v>21</v>
      </c>
      <c r="I1999" t="s">
        <v>20</v>
      </c>
      <c r="J1999" s="2">
        <f>Table1_1[[#This Row],[Sales]]-Table1_1[[#This Row],[Sales]]*Table1_1[[#This Row],[Discount]]</f>
        <v>1151.78</v>
      </c>
      <c r="K1999" s="1">
        <v>45692</v>
      </c>
      <c r="L1999" s="11">
        <v>45698</v>
      </c>
      <c r="M1999">
        <f>DATEDIF(Table1_1[[#This Row],[Order Date]],Table1_1[[#This Row],[Ship Date]],"D")</f>
        <v>6</v>
      </c>
    </row>
    <row r="2000" spans="1:13" x14ac:dyDescent="0.35">
      <c r="A2000" t="s">
        <v>2416</v>
      </c>
      <c r="B2000" t="s">
        <v>1054</v>
      </c>
      <c r="C2000" t="s">
        <v>359</v>
      </c>
      <c r="D2000" s="2">
        <v>4343.75</v>
      </c>
      <c r="E2000">
        <v>5</v>
      </c>
      <c r="F2000">
        <v>0.1</v>
      </c>
      <c r="G2000" t="s">
        <v>14</v>
      </c>
      <c r="H2000" t="s">
        <v>21</v>
      </c>
      <c r="I2000" t="s">
        <v>20</v>
      </c>
      <c r="J2000" s="2">
        <f>Table1_1[[#This Row],[Sales]]-Table1_1[[#This Row],[Sales]]*Table1_1[[#This Row],[Discount]]</f>
        <v>3909.375</v>
      </c>
      <c r="K2000" s="1">
        <v>45366</v>
      </c>
      <c r="L2000" s="11">
        <v>45373</v>
      </c>
      <c r="M2000">
        <f>DATEDIF(Table1_1[[#This Row],[Order Date]],Table1_1[[#This Row],[Ship Date]],"D")</f>
        <v>7</v>
      </c>
    </row>
    <row r="2001" spans="1:13" x14ac:dyDescent="0.35">
      <c r="A2001" t="s">
        <v>2417</v>
      </c>
      <c r="B2001" t="s">
        <v>896</v>
      </c>
      <c r="C2001" t="s">
        <v>542</v>
      </c>
      <c r="D2001" s="2">
        <v>4102.2700000000004</v>
      </c>
      <c r="E2001">
        <v>7</v>
      </c>
      <c r="F2001">
        <v>0.3</v>
      </c>
      <c r="G2001" t="s">
        <v>39</v>
      </c>
      <c r="H2001" t="s">
        <v>21</v>
      </c>
      <c r="I2001" t="s">
        <v>16</v>
      </c>
      <c r="J2001" s="2">
        <f>Table1_1[[#This Row],[Sales]]-Table1_1[[#This Row],[Sales]]*Table1_1[[#This Row],[Discount]]</f>
        <v>2871.5890000000004</v>
      </c>
      <c r="K2001" s="1">
        <v>45606</v>
      </c>
      <c r="L2001" s="11">
        <v>45611</v>
      </c>
      <c r="M2001">
        <f>DATEDIF(Table1_1[[#This Row],[Order Date]],Table1_1[[#This Row],[Ship Date]],"D")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EBDC-6DF4-4A92-A05A-95B64B6A28D1}">
  <dimension ref="A1:E302"/>
  <sheetViews>
    <sheetView topLeftCell="A283" workbookViewId="0">
      <selection activeCell="D289" sqref="D289"/>
    </sheetView>
  </sheetViews>
  <sheetFormatPr defaultRowHeight="14.5" x14ac:dyDescent="0.35"/>
  <cols>
    <col min="1" max="1" width="13.26953125" style="4" customWidth="1"/>
    <col min="2" max="2" width="17.6328125" style="5" bestFit="1" customWidth="1"/>
    <col min="3" max="3" width="13.6328125" style="5" bestFit="1" customWidth="1"/>
    <col min="4" max="4" width="19.36328125" style="5" bestFit="1" customWidth="1"/>
    <col min="5" max="5" width="14" style="5" bestFit="1" customWidth="1"/>
  </cols>
  <sheetData>
    <row r="1" spans="1:5" x14ac:dyDescent="0.35">
      <c r="A1" s="12" t="s">
        <v>3</v>
      </c>
      <c r="B1" s="13" t="s">
        <v>2547</v>
      </c>
      <c r="C1" s="13" t="s">
        <v>2420</v>
      </c>
      <c r="D1" s="14" t="s">
        <v>2421</v>
      </c>
      <c r="E1" s="15" t="s">
        <v>2422</v>
      </c>
    </row>
    <row r="2" spans="1:5" x14ac:dyDescent="0.35">
      <c r="A2" s="4" t="s">
        <v>933</v>
      </c>
      <c r="B2" s="5" t="s">
        <v>2423</v>
      </c>
      <c r="C2" s="5" t="s">
        <v>2429</v>
      </c>
      <c r="D2" s="5">
        <v>4</v>
      </c>
      <c r="E2" s="9" t="s">
        <v>2542</v>
      </c>
    </row>
    <row r="3" spans="1:5" x14ac:dyDescent="0.35">
      <c r="A3" s="4" t="s">
        <v>906</v>
      </c>
      <c r="B3" s="5" t="s">
        <v>2424</v>
      </c>
      <c r="C3" s="5" t="s">
        <v>2430</v>
      </c>
      <c r="D3" s="5">
        <v>1</v>
      </c>
      <c r="E3" s="9" t="s">
        <v>2543</v>
      </c>
    </row>
    <row r="4" spans="1:5" x14ac:dyDescent="0.35">
      <c r="A4" s="4" t="s">
        <v>309</v>
      </c>
      <c r="B4" s="5" t="s">
        <v>2424</v>
      </c>
      <c r="C4" s="5" t="s">
        <v>2430</v>
      </c>
      <c r="D4" s="5">
        <v>5</v>
      </c>
      <c r="E4" s="9" t="s">
        <v>2544</v>
      </c>
    </row>
    <row r="5" spans="1:5" x14ac:dyDescent="0.35">
      <c r="A5" s="4" t="s">
        <v>67</v>
      </c>
      <c r="B5" s="5" t="s">
        <v>2424</v>
      </c>
      <c r="C5" s="5" t="s">
        <v>2425</v>
      </c>
      <c r="D5" s="5">
        <v>3</v>
      </c>
      <c r="E5" s="9" t="s">
        <v>2545</v>
      </c>
    </row>
    <row r="6" spans="1:5" x14ac:dyDescent="0.35">
      <c r="A6" s="4" t="s">
        <v>242</v>
      </c>
      <c r="B6" s="5" t="s">
        <v>2423</v>
      </c>
      <c r="C6" s="5" t="s">
        <v>2429</v>
      </c>
      <c r="D6" s="5">
        <v>4</v>
      </c>
      <c r="E6" s="9" t="s">
        <v>2542</v>
      </c>
    </row>
    <row r="7" spans="1:5" x14ac:dyDescent="0.35">
      <c r="A7" s="4" t="s">
        <v>98</v>
      </c>
      <c r="B7" s="5" t="s">
        <v>2426</v>
      </c>
      <c r="C7" s="5" t="s">
        <v>2427</v>
      </c>
      <c r="D7" s="5">
        <v>4</v>
      </c>
      <c r="E7" s="9" t="s">
        <v>2542</v>
      </c>
    </row>
    <row r="8" spans="1:5" x14ac:dyDescent="0.35">
      <c r="A8" s="4" t="s">
        <v>424</v>
      </c>
      <c r="B8" s="5" t="s">
        <v>2424</v>
      </c>
      <c r="C8" s="5" t="s">
        <v>2427</v>
      </c>
      <c r="D8" s="5">
        <v>3</v>
      </c>
      <c r="E8" s="9" t="s">
        <v>2545</v>
      </c>
    </row>
    <row r="9" spans="1:5" x14ac:dyDescent="0.35">
      <c r="A9" s="4" t="s">
        <v>50</v>
      </c>
      <c r="B9" s="5" t="s">
        <v>2423</v>
      </c>
      <c r="C9" s="5" t="s">
        <v>2428</v>
      </c>
      <c r="D9" s="5">
        <v>2</v>
      </c>
      <c r="E9" s="9" t="s">
        <v>2546</v>
      </c>
    </row>
    <row r="10" spans="1:5" x14ac:dyDescent="0.35">
      <c r="A10" s="4" t="s">
        <v>79</v>
      </c>
      <c r="B10" s="5" t="s">
        <v>2423</v>
      </c>
      <c r="C10" s="5" t="s">
        <v>2427</v>
      </c>
      <c r="D10" s="5">
        <v>5</v>
      </c>
      <c r="E10" s="9" t="s">
        <v>2544</v>
      </c>
    </row>
    <row r="11" spans="1:5" x14ac:dyDescent="0.35">
      <c r="A11" s="4" t="s">
        <v>603</v>
      </c>
      <c r="B11" s="5" t="s">
        <v>2426</v>
      </c>
      <c r="C11" s="5" t="s">
        <v>2427</v>
      </c>
      <c r="D11" s="5">
        <v>5</v>
      </c>
      <c r="E11" s="9" t="s">
        <v>2544</v>
      </c>
    </row>
    <row r="12" spans="1:5" x14ac:dyDescent="0.35">
      <c r="A12" s="4" t="s">
        <v>520</v>
      </c>
      <c r="B12" s="5" t="s">
        <v>2424</v>
      </c>
      <c r="C12" s="5" t="s">
        <v>2428</v>
      </c>
      <c r="D12" s="5">
        <v>4</v>
      </c>
      <c r="E12" s="9" t="s">
        <v>2542</v>
      </c>
    </row>
    <row r="13" spans="1:5" x14ac:dyDescent="0.35">
      <c r="A13" s="4" t="s">
        <v>1279</v>
      </c>
      <c r="B13" s="5" t="s">
        <v>2423</v>
      </c>
      <c r="C13" s="5" t="s">
        <v>2425</v>
      </c>
      <c r="D13" s="5">
        <v>1</v>
      </c>
      <c r="E13" s="9" t="s">
        <v>2543</v>
      </c>
    </row>
    <row r="14" spans="1:5" x14ac:dyDescent="0.35">
      <c r="A14" s="4" t="s">
        <v>314</v>
      </c>
      <c r="B14" s="5" t="s">
        <v>2423</v>
      </c>
      <c r="C14" s="5" t="s">
        <v>2429</v>
      </c>
      <c r="D14" s="5">
        <v>2</v>
      </c>
      <c r="E14" s="9" t="s">
        <v>2546</v>
      </c>
    </row>
    <row r="15" spans="1:5" x14ac:dyDescent="0.35">
      <c r="A15" s="4" t="s">
        <v>1730</v>
      </c>
      <c r="B15" s="5" t="s">
        <v>2426</v>
      </c>
      <c r="C15" s="5" t="s">
        <v>2428</v>
      </c>
      <c r="D15" s="5">
        <v>1</v>
      </c>
      <c r="E15" s="9" t="s">
        <v>2543</v>
      </c>
    </row>
    <row r="16" spans="1:5" x14ac:dyDescent="0.35">
      <c r="A16" s="4" t="s">
        <v>629</v>
      </c>
      <c r="B16" s="5" t="s">
        <v>2426</v>
      </c>
      <c r="C16" s="5" t="s">
        <v>2429</v>
      </c>
      <c r="D16" s="5">
        <v>2</v>
      </c>
      <c r="E16" s="9" t="s">
        <v>2546</v>
      </c>
    </row>
    <row r="17" spans="1:5" x14ac:dyDescent="0.35">
      <c r="A17" s="4" t="s">
        <v>601</v>
      </c>
      <c r="B17" s="5" t="s">
        <v>2424</v>
      </c>
      <c r="C17" s="5" t="s">
        <v>2428</v>
      </c>
      <c r="D17" s="5">
        <v>3</v>
      </c>
      <c r="E17" s="9" t="s">
        <v>2545</v>
      </c>
    </row>
    <row r="18" spans="1:5" x14ac:dyDescent="0.35">
      <c r="A18" s="4" t="s">
        <v>328</v>
      </c>
      <c r="B18" s="5" t="s">
        <v>2426</v>
      </c>
      <c r="C18" s="5" t="s">
        <v>2430</v>
      </c>
      <c r="D18" s="5">
        <v>5</v>
      </c>
      <c r="E18" s="9" t="s">
        <v>2544</v>
      </c>
    </row>
    <row r="19" spans="1:5" x14ac:dyDescent="0.35">
      <c r="A19" s="4" t="s">
        <v>70</v>
      </c>
      <c r="B19" s="5" t="s">
        <v>2424</v>
      </c>
      <c r="C19" s="5" t="s">
        <v>2429</v>
      </c>
      <c r="D19" s="5">
        <v>3</v>
      </c>
      <c r="E19" s="9" t="s">
        <v>2545</v>
      </c>
    </row>
    <row r="20" spans="1:5" x14ac:dyDescent="0.35">
      <c r="A20" s="4" t="s">
        <v>664</v>
      </c>
      <c r="B20" s="5" t="s">
        <v>2423</v>
      </c>
      <c r="C20" s="5" t="s">
        <v>2427</v>
      </c>
      <c r="D20" s="5">
        <v>3</v>
      </c>
      <c r="E20" s="9" t="s">
        <v>2545</v>
      </c>
    </row>
    <row r="21" spans="1:5" x14ac:dyDescent="0.35">
      <c r="A21" s="4" t="s">
        <v>54</v>
      </c>
      <c r="B21" s="5" t="s">
        <v>2426</v>
      </c>
      <c r="C21" s="5" t="s">
        <v>2427</v>
      </c>
      <c r="D21" s="5">
        <v>3</v>
      </c>
      <c r="E21" s="9" t="s">
        <v>2545</v>
      </c>
    </row>
    <row r="22" spans="1:5" x14ac:dyDescent="0.35">
      <c r="A22" s="4" t="s">
        <v>239</v>
      </c>
      <c r="B22" s="5" t="s">
        <v>2423</v>
      </c>
      <c r="C22" s="5" t="s">
        <v>2425</v>
      </c>
      <c r="D22" s="5">
        <v>3</v>
      </c>
      <c r="E22" s="9" t="s">
        <v>2545</v>
      </c>
    </row>
    <row r="23" spans="1:5" x14ac:dyDescent="0.35">
      <c r="A23" s="4" t="s">
        <v>621</v>
      </c>
      <c r="B23" s="5" t="s">
        <v>2424</v>
      </c>
      <c r="C23" s="5" t="s">
        <v>2429</v>
      </c>
      <c r="D23" s="5">
        <v>5</v>
      </c>
      <c r="E23" s="9" t="s">
        <v>2544</v>
      </c>
    </row>
    <row r="24" spans="1:5" x14ac:dyDescent="0.35">
      <c r="A24" s="4" t="s">
        <v>371</v>
      </c>
      <c r="B24" s="5" t="s">
        <v>2426</v>
      </c>
      <c r="C24" s="5" t="s">
        <v>2428</v>
      </c>
      <c r="D24" s="5">
        <v>2</v>
      </c>
      <c r="E24" s="9" t="s">
        <v>2546</v>
      </c>
    </row>
    <row r="25" spans="1:5" x14ac:dyDescent="0.35">
      <c r="A25" s="4" t="s">
        <v>594</v>
      </c>
      <c r="B25" s="5" t="s">
        <v>2426</v>
      </c>
      <c r="C25" s="5" t="s">
        <v>2427</v>
      </c>
      <c r="D25" s="5">
        <v>5</v>
      </c>
      <c r="E25" s="9" t="s">
        <v>2544</v>
      </c>
    </row>
    <row r="26" spans="1:5" x14ac:dyDescent="0.35">
      <c r="A26" s="4" t="s">
        <v>434</v>
      </c>
      <c r="B26" s="5" t="s">
        <v>2426</v>
      </c>
      <c r="C26" s="5" t="s">
        <v>2428</v>
      </c>
      <c r="D26" s="5">
        <v>4</v>
      </c>
      <c r="E26" s="9" t="s">
        <v>2542</v>
      </c>
    </row>
    <row r="27" spans="1:5" x14ac:dyDescent="0.35">
      <c r="A27" s="4" t="s">
        <v>657</v>
      </c>
      <c r="B27" s="5" t="s">
        <v>2424</v>
      </c>
      <c r="C27" s="5" t="s">
        <v>2425</v>
      </c>
      <c r="D27" s="5">
        <v>5</v>
      </c>
      <c r="E27" s="9" t="s">
        <v>2544</v>
      </c>
    </row>
    <row r="28" spans="1:5" x14ac:dyDescent="0.35">
      <c r="A28" s="4" t="s">
        <v>76</v>
      </c>
      <c r="B28" s="5" t="s">
        <v>2424</v>
      </c>
      <c r="C28" s="5" t="s">
        <v>2429</v>
      </c>
      <c r="D28" s="5">
        <v>1</v>
      </c>
      <c r="E28" s="9" t="s">
        <v>2543</v>
      </c>
    </row>
    <row r="29" spans="1:5" x14ac:dyDescent="0.35">
      <c r="A29" s="4" t="s">
        <v>81</v>
      </c>
      <c r="B29" s="5" t="s">
        <v>2423</v>
      </c>
      <c r="C29" s="5" t="s">
        <v>2430</v>
      </c>
      <c r="D29" s="5">
        <v>4</v>
      </c>
      <c r="E29" s="9" t="s">
        <v>2542</v>
      </c>
    </row>
    <row r="30" spans="1:5" x14ac:dyDescent="0.35">
      <c r="A30" s="4" t="s">
        <v>1057</v>
      </c>
      <c r="B30" s="5" t="s">
        <v>2426</v>
      </c>
      <c r="C30" s="5" t="s">
        <v>2429</v>
      </c>
      <c r="D30" s="5">
        <v>3</v>
      </c>
      <c r="E30" s="9" t="s">
        <v>2545</v>
      </c>
    </row>
    <row r="31" spans="1:5" x14ac:dyDescent="0.35">
      <c r="A31" s="4" t="s">
        <v>277</v>
      </c>
      <c r="B31" s="5" t="s">
        <v>2426</v>
      </c>
      <c r="C31" s="5" t="s">
        <v>2427</v>
      </c>
      <c r="D31" s="5">
        <v>4</v>
      </c>
      <c r="E31" s="9" t="s">
        <v>2542</v>
      </c>
    </row>
    <row r="32" spans="1:5" x14ac:dyDescent="0.35">
      <c r="A32" s="4" t="s">
        <v>162</v>
      </c>
      <c r="B32" s="5" t="s">
        <v>2426</v>
      </c>
      <c r="C32" s="5" t="s">
        <v>2425</v>
      </c>
      <c r="D32" s="5">
        <v>1</v>
      </c>
      <c r="E32" s="9" t="s">
        <v>2543</v>
      </c>
    </row>
    <row r="33" spans="1:5" x14ac:dyDescent="0.35">
      <c r="A33" s="4" t="s">
        <v>84</v>
      </c>
      <c r="B33" s="5" t="s">
        <v>2426</v>
      </c>
      <c r="C33" s="5" t="s">
        <v>2427</v>
      </c>
      <c r="D33" s="5">
        <v>5</v>
      </c>
      <c r="E33" s="9" t="s">
        <v>2544</v>
      </c>
    </row>
    <row r="34" spans="1:5" x14ac:dyDescent="0.35">
      <c r="A34" s="4" t="s">
        <v>248</v>
      </c>
      <c r="B34" s="5" t="s">
        <v>2424</v>
      </c>
      <c r="C34" s="5" t="s">
        <v>2427</v>
      </c>
      <c r="D34" s="5">
        <v>1</v>
      </c>
      <c r="E34" s="9" t="s">
        <v>2543</v>
      </c>
    </row>
    <row r="35" spans="1:5" x14ac:dyDescent="0.35">
      <c r="A35" s="4" t="s">
        <v>171</v>
      </c>
      <c r="B35" s="5" t="s">
        <v>2424</v>
      </c>
      <c r="C35" s="5" t="s">
        <v>2429</v>
      </c>
      <c r="D35" s="5">
        <v>3</v>
      </c>
      <c r="E35" s="9" t="s">
        <v>2545</v>
      </c>
    </row>
    <row r="36" spans="1:5" x14ac:dyDescent="0.35">
      <c r="A36" s="4" t="s">
        <v>846</v>
      </c>
      <c r="B36" s="5" t="s">
        <v>2423</v>
      </c>
      <c r="C36" s="5" t="s">
        <v>2425</v>
      </c>
      <c r="D36" s="5">
        <v>1</v>
      </c>
      <c r="E36" s="9" t="s">
        <v>2543</v>
      </c>
    </row>
    <row r="37" spans="1:5" x14ac:dyDescent="0.35">
      <c r="A37" s="4" t="s">
        <v>852</v>
      </c>
      <c r="B37" s="5" t="s">
        <v>2426</v>
      </c>
      <c r="C37" s="5" t="s">
        <v>2425</v>
      </c>
      <c r="D37" s="5">
        <v>2</v>
      </c>
      <c r="E37" s="9" t="s">
        <v>2546</v>
      </c>
    </row>
    <row r="38" spans="1:5" x14ac:dyDescent="0.35">
      <c r="A38" s="4" t="s">
        <v>173</v>
      </c>
      <c r="B38" s="5" t="s">
        <v>2424</v>
      </c>
      <c r="C38" s="5" t="s">
        <v>2430</v>
      </c>
      <c r="D38" s="5">
        <v>5</v>
      </c>
      <c r="E38" s="9" t="s">
        <v>2544</v>
      </c>
    </row>
    <row r="39" spans="1:5" x14ac:dyDescent="0.35">
      <c r="A39" s="4" t="s">
        <v>213</v>
      </c>
      <c r="B39" s="5" t="s">
        <v>2423</v>
      </c>
      <c r="C39" s="5" t="s">
        <v>2427</v>
      </c>
      <c r="D39" s="5">
        <v>2</v>
      </c>
      <c r="E39" s="9" t="s">
        <v>2546</v>
      </c>
    </row>
    <row r="40" spans="1:5" x14ac:dyDescent="0.35">
      <c r="A40" s="4" t="s">
        <v>453</v>
      </c>
      <c r="B40" s="5" t="s">
        <v>2423</v>
      </c>
      <c r="C40" s="5" t="s">
        <v>2430</v>
      </c>
      <c r="D40" s="5">
        <v>3</v>
      </c>
      <c r="E40" s="9" t="s">
        <v>2545</v>
      </c>
    </row>
    <row r="41" spans="1:5" x14ac:dyDescent="0.35">
      <c r="A41" s="4" t="s">
        <v>1299</v>
      </c>
      <c r="B41" s="5" t="s">
        <v>2423</v>
      </c>
      <c r="C41" s="5" t="s">
        <v>2430</v>
      </c>
      <c r="D41" s="5">
        <v>1</v>
      </c>
      <c r="E41" s="9" t="s">
        <v>2543</v>
      </c>
    </row>
    <row r="42" spans="1:5" x14ac:dyDescent="0.35">
      <c r="A42" s="4" t="s">
        <v>637</v>
      </c>
      <c r="B42" s="5" t="s">
        <v>2423</v>
      </c>
      <c r="C42" s="5" t="s">
        <v>2428</v>
      </c>
      <c r="D42" s="5">
        <v>4</v>
      </c>
      <c r="E42" s="9" t="s">
        <v>2542</v>
      </c>
    </row>
    <row r="43" spans="1:5" x14ac:dyDescent="0.35">
      <c r="A43" s="4" t="s">
        <v>1307</v>
      </c>
      <c r="B43" s="5" t="s">
        <v>2426</v>
      </c>
      <c r="C43" s="5" t="s">
        <v>2429</v>
      </c>
      <c r="D43" s="5">
        <v>5</v>
      </c>
      <c r="E43" s="9" t="s">
        <v>2544</v>
      </c>
    </row>
    <row r="44" spans="1:5" x14ac:dyDescent="0.35">
      <c r="A44" s="4" t="s">
        <v>457</v>
      </c>
      <c r="B44" s="5" t="s">
        <v>2426</v>
      </c>
      <c r="C44" s="5" t="s">
        <v>2430</v>
      </c>
      <c r="D44" s="5">
        <v>4</v>
      </c>
      <c r="E44" s="9" t="s">
        <v>2542</v>
      </c>
    </row>
    <row r="45" spans="1:5" x14ac:dyDescent="0.35">
      <c r="A45" s="4" t="s">
        <v>508</v>
      </c>
      <c r="B45" s="5" t="s">
        <v>2424</v>
      </c>
      <c r="C45" s="5" t="s">
        <v>2430</v>
      </c>
      <c r="D45" s="5">
        <v>5</v>
      </c>
      <c r="E45" s="9" t="s">
        <v>2544</v>
      </c>
    </row>
    <row r="46" spans="1:5" x14ac:dyDescent="0.35">
      <c r="A46" s="4" t="s">
        <v>940</v>
      </c>
      <c r="B46" s="5" t="s">
        <v>2426</v>
      </c>
      <c r="C46" s="5" t="s">
        <v>2428</v>
      </c>
      <c r="D46" s="5">
        <v>3</v>
      </c>
      <c r="E46" s="9" t="s">
        <v>2545</v>
      </c>
    </row>
    <row r="47" spans="1:5" x14ac:dyDescent="0.35">
      <c r="A47" s="4" t="s">
        <v>48</v>
      </c>
      <c r="B47" s="5" t="s">
        <v>2426</v>
      </c>
      <c r="C47" s="5" t="s">
        <v>2430</v>
      </c>
      <c r="D47" s="5">
        <v>1</v>
      </c>
      <c r="E47" s="9" t="s">
        <v>2543</v>
      </c>
    </row>
    <row r="48" spans="1:5" x14ac:dyDescent="0.35">
      <c r="A48" s="4" t="s">
        <v>86</v>
      </c>
      <c r="B48" s="5" t="s">
        <v>2424</v>
      </c>
      <c r="C48" s="5" t="s">
        <v>2428</v>
      </c>
      <c r="D48" s="5">
        <v>1</v>
      </c>
      <c r="E48" s="9" t="s">
        <v>2543</v>
      </c>
    </row>
    <row r="49" spans="1:5" x14ac:dyDescent="0.35">
      <c r="A49" s="4" t="s">
        <v>2026</v>
      </c>
      <c r="B49" s="5" t="s">
        <v>2423</v>
      </c>
      <c r="C49" s="5" t="s">
        <v>2428</v>
      </c>
      <c r="D49" s="5">
        <v>2</v>
      </c>
      <c r="E49" s="9" t="s">
        <v>2546</v>
      </c>
    </row>
    <row r="50" spans="1:5" x14ac:dyDescent="0.35">
      <c r="A50" s="4" t="s">
        <v>275</v>
      </c>
      <c r="B50" s="5" t="s">
        <v>2423</v>
      </c>
      <c r="C50" s="5" t="s">
        <v>2427</v>
      </c>
      <c r="D50" s="5">
        <v>1</v>
      </c>
      <c r="E50" s="9" t="s">
        <v>2543</v>
      </c>
    </row>
    <row r="51" spans="1:5" x14ac:dyDescent="0.35">
      <c r="A51" s="4" t="s">
        <v>1257</v>
      </c>
      <c r="B51" s="5" t="s">
        <v>2423</v>
      </c>
      <c r="C51" s="5" t="s">
        <v>2427</v>
      </c>
      <c r="D51" s="5">
        <v>1</v>
      </c>
      <c r="E51" s="9" t="s">
        <v>2543</v>
      </c>
    </row>
    <row r="52" spans="1:5" x14ac:dyDescent="0.35">
      <c r="A52" s="4" t="s">
        <v>261</v>
      </c>
      <c r="B52" s="5" t="s">
        <v>2423</v>
      </c>
      <c r="C52" s="5" t="s">
        <v>2430</v>
      </c>
      <c r="D52" s="5">
        <v>3</v>
      </c>
      <c r="E52" s="9" t="s">
        <v>2545</v>
      </c>
    </row>
    <row r="53" spans="1:5" x14ac:dyDescent="0.35">
      <c r="A53" s="4" t="s">
        <v>550</v>
      </c>
      <c r="B53" s="5" t="s">
        <v>2423</v>
      </c>
      <c r="C53" s="5" t="s">
        <v>2427</v>
      </c>
      <c r="D53" s="5">
        <v>3</v>
      </c>
      <c r="E53" s="9" t="s">
        <v>2545</v>
      </c>
    </row>
    <row r="54" spans="1:5" x14ac:dyDescent="0.35">
      <c r="A54" s="4" t="s">
        <v>33</v>
      </c>
      <c r="B54" s="5" t="s">
        <v>2424</v>
      </c>
      <c r="C54" s="5" t="s">
        <v>2430</v>
      </c>
      <c r="D54" s="5">
        <v>5</v>
      </c>
      <c r="E54" s="9" t="s">
        <v>2544</v>
      </c>
    </row>
    <row r="55" spans="1:5" x14ac:dyDescent="0.35">
      <c r="A55" s="4" t="s">
        <v>514</v>
      </c>
      <c r="B55" s="5" t="s">
        <v>2426</v>
      </c>
      <c r="C55" s="5" t="s">
        <v>2425</v>
      </c>
      <c r="D55" s="5">
        <v>5</v>
      </c>
      <c r="E55" s="9" t="s">
        <v>2544</v>
      </c>
    </row>
    <row r="56" spans="1:5" x14ac:dyDescent="0.35">
      <c r="A56" s="4" t="s">
        <v>402</v>
      </c>
      <c r="B56" s="5" t="s">
        <v>2424</v>
      </c>
      <c r="C56" s="5" t="s">
        <v>2428</v>
      </c>
      <c r="D56" s="5">
        <v>2</v>
      </c>
      <c r="E56" s="9" t="s">
        <v>2546</v>
      </c>
    </row>
    <row r="57" spans="1:5" x14ac:dyDescent="0.35">
      <c r="A57" s="4" t="s">
        <v>301</v>
      </c>
      <c r="B57" s="5" t="s">
        <v>2424</v>
      </c>
      <c r="C57" s="5" t="s">
        <v>2429</v>
      </c>
      <c r="D57" s="5">
        <v>5</v>
      </c>
      <c r="E57" s="9" t="s">
        <v>2544</v>
      </c>
    </row>
    <row r="58" spans="1:5" x14ac:dyDescent="0.35">
      <c r="A58" s="4" t="s">
        <v>324</v>
      </c>
      <c r="B58" s="5" t="s">
        <v>2426</v>
      </c>
      <c r="C58" s="5" t="s">
        <v>2427</v>
      </c>
      <c r="D58" s="5">
        <v>5</v>
      </c>
      <c r="E58" s="9" t="s">
        <v>2544</v>
      </c>
    </row>
    <row r="59" spans="1:5" x14ac:dyDescent="0.35">
      <c r="A59" s="4" t="s">
        <v>530</v>
      </c>
      <c r="B59" s="5" t="s">
        <v>2424</v>
      </c>
      <c r="C59" s="5" t="s">
        <v>2429</v>
      </c>
      <c r="D59" s="5">
        <v>1</v>
      </c>
      <c r="E59" s="9" t="s">
        <v>2543</v>
      </c>
    </row>
    <row r="60" spans="1:5" x14ac:dyDescent="0.35">
      <c r="A60" s="4" t="s">
        <v>614</v>
      </c>
      <c r="B60" s="5" t="s">
        <v>2423</v>
      </c>
      <c r="C60" s="5" t="s">
        <v>2428</v>
      </c>
      <c r="D60" s="5">
        <v>3</v>
      </c>
      <c r="E60" s="9" t="s">
        <v>2545</v>
      </c>
    </row>
    <row r="61" spans="1:5" x14ac:dyDescent="0.35">
      <c r="A61" s="4" t="s">
        <v>52</v>
      </c>
      <c r="B61" s="5" t="s">
        <v>2423</v>
      </c>
      <c r="C61" s="5" t="s">
        <v>2429</v>
      </c>
      <c r="D61" s="5">
        <v>3</v>
      </c>
      <c r="E61" s="9" t="s">
        <v>2545</v>
      </c>
    </row>
    <row r="62" spans="1:5" x14ac:dyDescent="0.35">
      <c r="A62" s="4" t="s">
        <v>199</v>
      </c>
      <c r="B62" s="5" t="s">
        <v>2423</v>
      </c>
      <c r="C62" s="5" t="s">
        <v>2427</v>
      </c>
      <c r="D62" s="5">
        <v>2</v>
      </c>
      <c r="E62" s="9" t="s">
        <v>2546</v>
      </c>
    </row>
    <row r="63" spans="1:5" x14ac:dyDescent="0.35">
      <c r="A63" s="4" t="s">
        <v>122</v>
      </c>
      <c r="B63" s="5" t="s">
        <v>2423</v>
      </c>
      <c r="C63" s="5" t="s">
        <v>2428</v>
      </c>
      <c r="D63" s="5">
        <v>2</v>
      </c>
      <c r="E63" s="9" t="s">
        <v>2546</v>
      </c>
    </row>
    <row r="64" spans="1:5" x14ac:dyDescent="0.35">
      <c r="A64" s="4" t="s">
        <v>396</v>
      </c>
      <c r="B64" s="5" t="s">
        <v>2426</v>
      </c>
      <c r="C64" s="5" t="s">
        <v>2429</v>
      </c>
      <c r="D64" s="5">
        <v>4</v>
      </c>
      <c r="E64" s="9" t="s">
        <v>2542</v>
      </c>
    </row>
    <row r="65" spans="1:5" x14ac:dyDescent="0.35">
      <c r="A65" s="4" t="s">
        <v>522</v>
      </c>
      <c r="B65" s="5" t="s">
        <v>2424</v>
      </c>
      <c r="C65" s="5" t="s">
        <v>2428</v>
      </c>
      <c r="D65" s="5">
        <v>1</v>
      </c>
      <c r="E65" s="9" t="s">
        <v>2543</v>
      </c>
    </row>
    <row r="66" spans="1:5" x14ac:dyDescent="0.35">
      <c r="A66" s="4" t="s">
        <v>1089</v>
      </c>
      <c r="B66" s="5" t="s">
        <v>2426</v>
      </c>
      <c r="C66" s="5" t="s">
        <v>2430</v>
      </c>
      <c r="D66" s="5">
        <v>2</v>
      </c>
      <c r="E66" s="9" t="s">
        <v>2546</v>
      </c>
    </row>
    <row r="67" spans="1:5" x14ac:dyDescent="0.35">
      <c r="A67" s="4" t="s">
        <v>541</v>
      </c>
      <c r="B67" s="5" t="s">
        <v>2426</v>
      </c>
      <c r="C67" s="5" t="s">
        <v>2429</v>
      </c>
      <c r="D67" s="5">
        <v>4</v>
      </c>
      <c r="E67" s="9" t="s">
        <v>2542</v>
      </c>
    </row>
    <row r="68" spans="1:5" x14ac:dyDescent="0.35">
      <c r="A68" s="4" t="s">
        <v>264</v>
      </c>
      <c r="B68" s="5" t="s">
        <v>2424</v>
      </c>
      <c r="C68" s="5" t="s">
        <v>2427</v>
      </c>
      <c r="D68" s="5">
        <v>5</v>
      </c>
      <c r="E68" s="9" t="s">
        <v>2544</v>
      </c>
    </row>
    <row r="69" spans="1:5" x14ac:dyDescent="0.35">
      <c r="A69" s="4" t="s">
        <v>679</v>
      </c>
      <c r="B69" s="5" t="s">
        <v>2423</v>
      </c>
      <c r="C69" s="5" t="s">
        <v>2429</v>
      </c>
      <c r="D69" s="5">
        <v>3</v>
      </c>
      <c r="E69" s="9" t="s">
        <v>2545</v>
      </c>
    </row>
    <row r="70" spans="1:5" x14ac:dyDescent="0.35">
      <c r="A70" s="4" t="s">
        <v>30</v>
      </c>
      <c r="B70" s="5" t="s">
        <v>2424</v>
      </c>
      <c r="C70" s="5" t="s">
        <v>2425</v>
      </c>
      <c r="D70" s="5">
        <v>1</v>
      </c>
      <c r="E70" s="9" t="s">
        <v>2543</v>
      </c>
    </row>
    <row r="71" spans="1:5" x14ac:dyDescent="0.35">
      <c r="A71" s="4" t="s">
        <v>832</v>
      </c>
      <c r="B71" s="5" t="s">
        <v>2426</v>
      </c>
      <c r="C71" s="5" t="s">
        <v>2430</v>
      </c>
      <c r="D71" s="5">
        <v>4</v>
      </c>
      <c r="E71" s="9" t="s">
        <v>2542</v>
      </c>
    </row>
    <row r="72" spans="1:5" x14ac:dyDescent="0.35">
      <c r="A72" s="4" t="s">
        <v>345</v>
      </c>
      <c r="B72" s="5" t="s">
        <v>2423</v>
      </c>
      <c r="C72" s="5" t="s">
        <v>2427</v>
      </c>
      <c r="D72" s="5">
        <v>5</v>
      </c>
      <c r="E72" s="9" t="s">
        <v>2544</v>
      </c>
    </row>
    <row r="73" spans="1:5" x14ac:dyDescent="0.35">
      <c r="A73" s="4" t="s">
        <v>137</v>
      </c>
      <c r="B73" s="5" t="s">
        <v>2423</v>
      </c>
      <c r="C73" s="5" t="s">
        <v>2428</v>
      </c>
      <c r="D73" s="5">
        <v>5</v>
      </c>
      <c r="E73" s="9" t="s">
        <v>2544</v>
      </c>
    </row>
    <row r="74" spans="1:5" x14ac:dyDescent="0.35">
      <c r="A74" s="4" t="s">
        <v>284</v>
      </c>
      <c r="B74" s="5" t="s">
        <v>2424</v>
      </c>
      <c r="C74" s="5" t="s">
        <v>2430</v>
      </c>
      <c r="D74" s="5">
        <v>5</v>
      </c>
      <c r="E74" s="9" t="s">
        <v>2544</v>
      </c>
    </row>
    <row r="75" spans="1:5" x14ac:dyDescent="0.35">
      <c r="A75" s="4" t="s">
        <v>744</v>
      </c>
      <c r="B75" s="5" t="s">
        <v>2426</v>
      </c>
      <c r="C75" s="5" t="s">
        <v>2429</v>
      </c>
      <c r="D75" s="5">
        <v>3</v>
      </c>
      <c r="E75" s="9" t="s">
        <v>2545</v>
      </c>
    </row>
    <row r="76" spans="1:5" x14ac:dyDescent="0.35">
      <c r="A76" s="4" t="s">
        <v>670</v>
      </c>
      <c r="B76" s="5" t="s">
        <v>2426</v>
      </c>
      <c r="C76" s="5" t="s">
        <v>2430</v>
      </c>
      <c r="D76" s="5">
        <v>1</v>
      </c>
      <c r="E76" s="9" t="s">
        <v>2543</v>
      </c>
    </row>
    <row r="77" spans="1:5" x14ac:dyDescent="0.35">
      <c r="A77" s="4" t="s">
        <v>431</v>
      </c>
      <c r="B77" s="5" t="s">
        <v>2426</v>
      </c>
      <c r="C77" s="5" t="s">
        <v>2425</v>
      </c>
      <c r="D77" s="5">
        <v>3</v>
      </c>
      <c r="E77" s="9" t="s">
        <v>2545</v>
      </c>
    </row>
    <row r="78" spans="1:5" x14ac:dyDescent="0.35">
      <c r="A78" s="4" t="s">
        <v>575</v>
      </c>
      <c r="B78" s="5" t="s">
        <v>2424</v>
      </c>
      <c r="C78" s="5" t="s">
        <v>2430</v>
      </c>
      <c r="D78" s="5">
        <v>4</v>
      </c>
      <c r="E78" s="9" t="s">
        <v>2542</v>
      </c>
    </row>
    <row r="79" spans="1:5" x14ac:dyDescent="0.35">
      <c r="A79" s="4" t="s">
        <v>942</v>
      </c>
      <c r="B79" s="5" t="s">
        <v>2424</v>
      </c>
      <c r="C79" s="5" t="s">
        <v>2425</v>
      </c>
      <c r="D79" s="5">
        <v>5</v>
      </c>
      <c r="E79" s="9" t="s">
        <v>2544</v>
      </c>
    </row>
    <row r="80" spans="1:5" x14ac:dyDescent="0.35">
      <c r="A80" s="4" t="s">
        <v>632</v>
      </c>
      <c r="B80" s="5" t="s">
        <v>2423</v>
      </c>
      <c r="C80" s="5" t="s">
        <v>2428</v>
      </c>
      <c r="D80" s="5">
        <v>4</v>
      </c>
      <c r="E80" s="9" t="s">
        <v>2542</v>
      </c>
    </row>
    <row r="81" spans="1:5" x14ac:dyDescent="0.35">
      <c r="A81" s="4" t="s">
        <v>462</v>
      </c>
      <c r="B81" s="5" t="s">
        <v>2424</v>
      </c>
      <c r="C81" s="5" t="s">
        <v>2427</v>
      </c>
      <c r="D81" s="5">
        <v>5</v>
      </c>
      <c r="E81" s="9" t="s">
        <v>2544</v>
      </c>
    </row>
    <row r="82" spans="1:5" x14ac:dyDescent="0.35">
      <c r="A82" s="4" t="s">
        <v>2431</v>
      </c>
      <c r="B82" s="5" t="s">
        <v>2423</v>
      </c>
      <c r="C82" s="5" t="s">
        <v>2429</v>
      </c>
      <c r="D82" s="5">
        <v>5</v>
      </c>
      <c r="E82" s="9" t="s">
        <v>2544</v>
      </c>
    </row>
    <row r="83" spans="1:5" x14ac:dyDescent="0.35">
      <c r="A83" s="4" t="s">
        <v>394</v>
      </c>
      <c r="B83" s="5" t="s">
        <v>2424</v>
      </c>
      <c r="C83" s="5" t="s">
        <v>2428</v>
      </c>
      <c r="D83" s="5">
        <v>5</v>
      </c>
      <c r="E83" s="9" t="s">
        <v>2544</v>
      </c>
    </row>
    <row r="84" spans="1:5" x14ac:dyDescent="0.35">
      <c r="A84" s="4" t="s">
        <v>193</v>
      </c>
      <c r="B84" s="5" t="s">
        <v>2424</v>
      </c>
      <c r="C84" s="5" t="s">
        <v>2428</v>
      </c>
      <c r="D84" s="5">
        <v>3</v>
      </c>
      <c r="E84" s="9" t="s">
        <v>2545</v>
      </c>
    </row>
    <row r="85" spans="1:5" x14ac:dyDescent="0.35">
      <c r="A85" s="4" t="s">
        <v>365</v>
      </c>
      <c r="B85" s="5" t="s">
        <v>2426</v>
      </c>
      <c r="C85" s="5" t="s">
        <v>2425</v>
      </c>
      <c r="D85" s="5">
        <v>1</v>
      </c>
      <c r="E85" s="9" t="s">
        <v>2543</v>
      </c>
    </row>
    <row r="86" spans="1:5" x14ac:dyDescent="0.35">
      <c r="A86" s="4" t="s">
        <v>347</v>
      </c>
      <c r="B86" s="5" t="s">
        <v>2426</v>
      </c>
      <c r="C86" s="5" t="s">
        <v>2430</v>
      </c>
      <c r="D86" s="5">
        <v>2</v>
      </c>
      <c r="E86" s="9" t="s">
        <v>2546</v>
      </c>
    </row>
    <row r="87" spans="1:5" x14ac:dyDescent="0.35">
      <c r="A87" s="4" t="s">
        <v>1434</v>
      </c>
      <c r="B87" s="5" t="s">
        <v>2426</v>
      </c>
      <c r="C87" s="5" t="s">
        <v>2425</v>
      </c>
      <c r="D87" s="5">
        <v>3</v>
      </c>
      <c r="E87" s="9" t="s">
        <v>2545</v>
      </c>
    </row>
    <row r="88" spans="1:5" x14ac:dyDescent="0.35">
      <c r="A88" s="4" t="s">
        <v>156</v>
      </c>
      <c r="B88" s="5" t="s">
        <v>2424</v>
      </c>
      <c r="C88" s="5" t="s">
        <v>2429</v>
      </c>
      <c r="D88" s="5">
        <v>5</v>
      </c>
      <c r="E88" s="9" t="s">
        <v>2544</v>
      </c>
    </row>
    <row r="89" spans="1:5" x14ac:dyDescent="0.35">
      <c r="A89" s="4" t="s">
        <v>196</v>
      </c>
      <c r="B89" s="5" t="s">
        <v>2423</v>
      </c>
      <c r="C89" s="5" t="s">
        <v>2427</v>
      </c>
      <c r="D89" s="5">
        <v>3</v>
      </c>
      <c r="E89" s="9" t="s">
        <v>2545</v>
      </c>
    </row>
    <row r="90" spans="1:5" x14ac:dyDescent="0.35">
      <c r="A90" s="4" t="s">
        <v>38</v>
      </c>
      <c r="B90" s="5" t="s">
        <v>2424</v>
      </c>
      <c r="C90" s="5" t="s">
        <v>2427</v>
      </c>
      <c r="D90" s="5">
        <v>1</v>
      </c>
      <c r="E90" s="9" t="s">
        <v>2543</v>
      </c>
    </row>
    <row r="91" spans="1:5" x14ac:dyDescent="0.35">
      <c r="A91" s="4" t="s">
        <v>807</v>
      </c>
      <c r="B91" s="5" t="s">
        <v>2426</v>
      </c>
      <c r="C91" s="5" t="s">
        <v>2427</v>
      </c>
      <c r="D91" s="5">
        <v>4</v>
      </c>
      <c r="E91" s="9" t="s">
        <v>2542</v>
      </c>
    </row>
    <row r="92" spans="1:5" x14ac:dyDescent="0.35">
      <c r="A92" s="4" t="s">
        <v>480</v>
      </c>
      <c r="B92" s="5" t="s">
        <v>2423</v>
      </c>
      <c r="C92" s="5" t="s">
        <v>2428</v>
      </c>
      <c r="D92" s="5">
        <v>5</v>
      </c>
      <c r="E92" s="9" t="s">
        <v>2544</v>
      </c>
    </row>
    <row r="93" spans="1:5" x14ac:dyDescent="0.35">
      <c r="A93" s="4" t="s">
        <v>1004</v>
      </c>
      <c r="B93" s="5" t="s">
        <v>2424</v>
      </c>
      <c r="C93" s="5" t="s">
        <v>2427</v>
      </c>
      <c r="D93" s="5">
        <v>1</v>
      </c>
      <c r="E93" s="9" t="s">
        <v>2543</v>
      </c>
    </row>
    <row r="94" spans="1:5" x14ac:dyDescent="0.35">
      <c r="A94" s="4" t="s">
        <v>322</v>
      </c>
      <c r="B94" s="5" t="s">
        <v>2424</v>
      </c>
      <c r="C94" s="5" t="s">
        <v>2425</v>
      </c>
      <c r="D94" s="5">
        <v>5</v>
      </c>
      <c r="E94" s="9" t="s">
        <v>2544</v>
      </c>
    </row>
    <row r="95" spans="1:5" x14ac:dyDescent="0.35">
      <c r="A95" s="4" t="s">
        <v>115</v>
      </c>
      <c r="B95" s="5" t="s">
        <v>2426</v>
      </c>
      <c r="C95" s="5" t="s">
        <v>2425</v>
      </c>
      <c r="D95" s="5">
        <v>3</v>
      </c>
      <c r="E95" s="9" t="s">
        <v>2545</v>
      </c>
    </row>
    <row r="96" spans="1:5" x14ac:dyDescent="0.35">
      <c r="A96" s="4" t="s">
        <v>28</v>
      </c>
      <c r="B96" s="5" t="s">
        <v>2424</v>
      </c>
      <c r="C96" s="5" t="s">
        <v>2429</v>
      </c>
      <c r="D96" s="5">
        <v>1</v>
      </c>
      <c r="E96" s="9" t="s">
        <v>2543</v>
      </c>
    </row>
    <row r="97" spans="1:5" x14ac:dyDescent="0.35">
      <c r="A97" s="4" t="s">
        <v>1083</v>
      </c>
      <c r="B97" s="5" t="s">
        <v>2426</v>
      </c>
      <c r="C97" s="5" t="s">
        <v>2428</v>
      </c>
      <c r="D97" s="5">
        <v>4</v>
      </c>
      <c r="E97" s="9" t="s">
        <v>2542</v>
      </c>
    </row>
    <row r="98" spans="1:5" x14ac:dyDescent="0.35">
      <c r="A98" s="4" t="s">
        <v>477</v>
      </c>
      <c r="B98" s="5" t="s">
        <v>2424</v>
      </c>
      <c r="C98" s="5" t="s">
        <v>2430</v>
      </c>
      <c r="D98" s="5">
        <v>2</v>
      </c>
      <c r="E98" s="9" t="s">
        <v>2546</v>
      </c>
    </row>
    <row r="99" spans="1:5" x14ac:dyDescent="0.35">
      <c r="A99" s="4" t="s">
        <v>817</v>
      </c>
      <c r="B99" s="5" t="s">
        <v>2423</v>
      </c>
      <c r="C99" s="5" t="s">
        <v>2429</v>
      </c>
      <c r="D99" s="5">
        <v>5</v>
      </c>
      <c r="E99" s="9" t="s">
        <v>2544</v>
      </c>
    </row>
    <row r="100" spans="1:5" x14ac:dyDescent="0.35">
      <c r="A100" s="4" t="s">
        <v>618</v>
      </c>
      <c r="B100" s="5" t="s">
        <v>2423</v>
      </c>
      <c r="C100" s="5" t="s">
        <v>2425</v>
      </c>
      <c r="D100" s="5">
        <v>5</v>
      </c>
      <c r="E100" s="9" t="s">
        <v>2544</v>
      </c>
    </row>
    <row r="101" spans="1:5" x14ac:dyDescent="0.35">
      <c r="A101" s="4" t="s">
        <v>110</v>
      </c>
      <c r="B101" s="5" t="s">
        <v>2423</v>
      </c>
      <c r="C101" s="5" t="s">
        <v>2430</v>
      </c>
      <c r="D101" s="5">
        <v>1</v>
      </c>
      <c r="E101" s="9" t="s">
        <v>2543</v>
      </c>
    </row>
    <row r="102" spans="1:5" x14ac:dyDescent="0.35">
      <c r="A102" s="4" t="s">
        <v>650</v>
      </c>
      <c r="B102" s="5" t="s">
        <v>2424</v>
      </c>
      <c r="C102" s="5" t="s">
        <v>2429</v>
      </c>
      <c r="D102" s="5">
        <v>1</v>
      </c>
      <c r="E102" s="9" t="s">
        <v>2543</v>
      </c>
    </row>
    <row r="103" spans="1:5" x14ac:dyDescent="0.35">
      <c r="A103" s="4" t="s">
        <v>201</v>
      </c>
      <c r="B103" s="5" t="s">
        <v>2424</v>
      </c>
      <c r="C103" s="5" t="s">
        <v>2427</v>
      </c>
      <c r="D103" s="5">
        <v>2</v>
      </c>
      <c r="E103" s="9" t="s">
        <v>2546</v>
      </c>
    </row>
    <row r="104" spans="1:5" x14ac:dyDescent="0.35">
      <c r="A104" s="4" t="s">
        <v>492</v>
      </c>
      <c r="B104" s="5" t="s">
        <v>2426</v>
      </c>
      <c r="C104" s="5" t="s">
        <v>2427</v>
      </c>
      <c r="D104" s="5">
        <v>5</v>
      </c>
      <c r="E104" s="9" t="s">
        <v>2544</v>
      </c>
    </row>
    <row r="105" spans="1:5" x14ac:dyDescent="0.35">
      <c r="A105" s="4" t="s">
        <v>107</v>
      </c>
      <c r="B105" s="5" t="s">
        <v>2426</v>
      </c>
      <c r="C105" s="5" t="s">
        <v>2427</v>
      </c>
      <c r="D105" s="5">
        <v>5</v>
      </c>
      <c r="E105" s="9" t="s">
        <v>2544</v>
      </c>
    </row>
    <row r="106" spans="1:5" x14ac:dyDescent="0.35">
      <c r="A106" s="4" t="s">
        <v>556</v>
      </c>
      <c r="B106" s="5" t="s">
        <v>2424</v>
      </c>
      <c r="C106" s="5" t="s">
        <v>2430</v>
      </c>
      <c r="D106" s="5">
        <v>4</v>
      </c>
      <c r="E106" s="9" t="s">
        <v>2542</v>
      </c>
    </row>
    <row r="107" spans="1:5" x14ac:dyDescent="0.35">
      <c r="A107" s="4" t="s">
        <v>272</v>
      </c>
      <c r="B107" s="5" t="s">
        <v>2423</v>
      </c>
      <c r="C107" s="5" t="s">
        <v>2429</v>
      </c>
      <c r="D107" s="5">
        <v>1</v>
      </c>
      <c r="E107" s="9" t="s">
        <v>2543</v>
      </c>
    </row>
    <row r="108" spans="1:5" x14ac:dyDescent="0.35">
      <c r="A108" s="4" t="s">
        <v>639</v>
      </c>
      <c r="B108" s="5" t="s">
        <v>2424</v>
      </c>
      <c r="C108" s="5" t="s">
        <v>2430</v>
      </c>
      <c r="D108" s="5">
        <v>4</v>
      </c>
      <c r="E108" s="9" t="s">
        <v>2542</v>
      </c>
    </row>
    <row r="109" spans="1:5" x14ac:dyDescent="0.35">
      <c r="A109" s="4" t="s">
        <v>159</v>
      </c>
      <c r="B109" s="5" t="s">
        <v>2423</v>
      </c>
      <c r="C109" s="5" t="s">
        <v>2427</v>
      </c>
      <c r="D109" s="5">
        <v>4</v>
      </c>
      <c r="E109" s="9" t="s">
        <v>2542</v>
      </c>
    </row>
    <row r="110" spans="1:5" x14ac:dyDescent="0.35">
      <c r="A110" s="4" t="s">
        <v>124</v>
      </c>
      <c r="B110" s="5" t="s">
        <v>2424</v>
      </c>
      <c r="C110" s="5" t="s">
        <v>2429</v>
      </c>
      <c r="D110" s="5">
        <v>4</v>
      </c>
      <c r="E110" s="9" t="s">
        <v>2542</v>
      </c>
    </row>
    <row r="111" spans="1:5" x14ac:dyDescent="0.35">
      <c r="A111" s="4" t="s">
        <v>1491</v>
      </c>
      <c r="B111" s="5" t="s">
        <v>2424</v>
      </c>
      <c r="C111" s="5" t="s">
        <v>2427</v>
      </c>
      <c r="D111" s="5">
        <v>4</v>
      </c>
      <c r="E111" s="9" t="s">
        <v>2542</v>
      </c>
    </row>
    <row r="112" spans="1:5" x14ac:dyDescent="0.35">
      <c r="A112" s="4" t="s">
        <v>363</v>
      </c>
      <c r="B112" s="5" t="s">
        <v>2423</v>
      </c>
      <c r="C112" s="5" t="s">
        <v>2428</v>
      </c>
      <c r="D112" s="5">
        <v>2</v>
      </c>
      <c r="E112" s="9" t="s">
        <v>2546</v>
      </c>
    </row>
    <row r="113" spans="1:5" x14ac:dyDescent="0.35">
      <c r="A113" s="4" t="s">
        <v>986</v>
      </c>
      <c r="B113" s="5" t="s">
        <v>2423</v>
      </c>
      <c r="C113" s="5" t="s">
        <v>2425</v>
      </c>
      <c r="D113" s="5">
        <v>2</v>
      </c>
      <c r="E113" s="9" t="s">
        <v>2546</v>
      </c>
    </row>
    <row r="114" spans="1:5" x14ac:dyDescent="0.35">
      <c r="A114" s="4" t="s">
        <v>165</v>
      </c>
      <c r="B114" s="5" t="s">
        <v>2424</v>
      </c>
      <c r="C114" s="5" t="s">
        <v>2427</v>
      </c>
      <c r="D114" s="5">
        <v>1</v>
      </c>
      <c r="E114" s="9" t="s">
        <v>2543</v>
      </c>
    </row>
    <row r="115" spans="1:5" x14ac:dyDescent="0.35">
      <c r="A115" s="4" t="s">
        <v>306</v>
      </c>
      <c r="B115" s="5" t="s">
        <v>2426</v>
      </c>
      <c r="C115" s="5" t="s">
        <v>2425</v>
      </c>
      <c r="D115" s="5">
        <v>1</v>
      </c>
      <c r="E115" s="9" t="s">
        <v>2543</v>
      </c>
    </row>
    <row r="116" spans="1:5" x14ac:dyDescent="0.35">
      <c r="A116" s="4" t="s">
        <v>104</v>
      </c>
      <c r="B116" s="5" t="s">
        <v>2424</v>
      </c>
      <c r="C116" s="5" t="s">
        <v>2425</v>
      </c>
      <c r="D116" s="5">
        <v>1</v>
      </c>
      <c r="E116" s="9" t="s">
        <v>2543</v>
      </c>
    </row>
    <row r="117" spans="1:5" x14ac:dyDescent="0.35">
      <c r="A117" s="4" t="s">
        <v>187</v>
      </c>
      <c r="B117" s="5" t="s">
        <v>2426</v>
      </c>
      <c r="C117" s="5" t="s">
        <v>2429</v>
      </c>
      <c r="D117" s="5">
        <v>5</v>
      </c>
      <c r="E117" s="9" t="s">
        <v>2544</v>
      </c>
    </row>
    <row r="118" spans="1:5" x14ac:dyDescent="0.35">
      <c r="A118" s="4" t="s">
        <v>510</v>
      </c>
      <c r="B118" s="5" t="s">
        <v>2426</v>
      </c>
      <c r="C118" s="5" t="s">
        <v>2425</v>
      </c>
      <c r="D118" s="5">
        <v>4</v>
      </c>
      <c r="E118" s="9" t="s">
        <v>2542</v>
      </c>
    </row>
    <row r="119" spans="1:5" x14ac:dyDescent="0.35">
      <c r="A119" s="4" t="s">
        <v>45</v>
      </c>
      <c r="B119" s="5" t="s">
        <v>2423</v>
      </c>
      <c r="C119" s="5" t="s">
        <v>2429</v>
      </c>
      <c r="D119" s="5">
        <v>4</v>
      </c>
      <c r="E119" s="9" t="s">
        <v>2542</v>
      </c>
    </row>
    <row r="120" spans="1:5" x14ac:dyDescent="0.35">
      <c r="A120" s="4" t="s">
        <v>590</v>
      </c>
      <c r="B120" s="5" t="s">
        <v>2426</v>
      </c>
      <c r="C120" s="5" t="s">
        <v>2428</v>
      </c>
      <c r="D120" s="5">
        <v>3</v>
      </c>
      <c r="E120" s="9" t="s">
        <v>2545</v>
      </c>
    </row>
    <row r="121" spans="1:5" x14ac:dyDescent="0.35">
      <c r="A121" s="4" t="s">
        <v>120</v>
      </c>
      <c r="B121" s="5" t="s">
        <v>2424</v>
      </c>
      <c r="C121" s="5" t="s">
        <v>2430</v>
      </c>
      <c r="D121" s="5">
        <v>3</v>
      </c>
      <c r="E121" s="9" t="s">
        <v>2545</v>
      </c>
    </row>
    <row r="122" spans="1:5" x14ac:dyDescent="0.35">
      <c r="A122" s="4" t="s">
        <v>256</v>
      </c>
      <c r="B122" s="5" t="s">
        <v>2423</v>
      </c>
      <c r="C122" s="5" t="s">
        <v>2428</v>
      </c>
      <c r="D122" s="5">
        <v>3</v>
      </c>
      <c r="E122" s="9" t="s">
        <v>2545</v>
      </c>
    </row>
    <row r="123" spans="1:5" x14ac:dyDescent="0.35">
      <c r="A123" s="4" t="s">
        <v>418</v>
      </c>
      <c r="B123" s="5" t="s">
        <v>2423</v>
      </c>
      <c r="C123" s="5" t="s">
        <v>2427</v>
      </c>
      <c r="D123" s="5">
        <v>4</v>
      </c>
      <c r="E123" s="9" t="s">
        <v>2542</v>
      </c>
    </row>
    <row r="124" spans="1:5" x14ac:dyDescent="0.35">
      <c r="A124" s="4" t="s">
        <v>426</v>
      </c>
      <c r="B124" s="5" t="s">
        <v>2424</v>
      </c>
      <c r="C124" s="5" t="s">
        <v>2427</v>
      </c>
      <c r="D124" s="5">
        <v>4</v>
      </c>
      <c r="E124" s="9" t="s">
        <v>2542</v>
      </c>
    </row>
    <row r="125" spans="1:5" x14ac:dyDescent="0.35">
      <c r="A125" s="4" t="s">
        <v>127</v>
      </c>
      <c r="B125" s="5" t="s">
        <v>2423</v>
      </c>
      <c r="C125" s="5" t="s">
        <v>2429</v>
      </c>
      <c r="D125" s="5">
        <v>1</v>
      </c>
      <c r="E125" s="9" t="s">
        <v>2543</v>
      </c>
    </row>
    <row r="126" spans="1:5" x14ac:dyDescent="0.35">
      <c r="A126" s="4" t="s">
        <v>544</v>
      </c>
      <c r="B126" s="5" t="s">
        <v>2426</v>
      </c>
      <c r="C126" s="5" t="s">
        <v>2429</v>
      </c>
      <c r="D126" s="5">
        <v>1</v>
      </c>
      <c r="E126" s="9" t="s">
        <v>2543</v>
      </c>
    </row>
    <row r="127" spans="1:5" x14ac:dyDescent="0.35">
      <c r="A127" s="4" t="s">
        <v>189</v>
      </c>
      <c r="B127" s="5" t="s">
        <v>2423</v>
      </c>
      <c r="C127" s="5" t="s">
        <v>2427</v>
      </c>
      <c r="D127" s="5">
        <v>1</v>
      </c>
      <c r="E127" s="9" t="s">
        <v>2543</v>
      </c>
    </row>
    <row r="128" spans="1:5" x14ac:dyDescent="0.35">
      <c r="A128" s="4" t="s">
        <v>699</v>
      </c>
      <c r="B128" s="5" t="s">
        <v>2424</v>
      </c>
      <c r="C128" s="5" t="s">
        <v>2429</v>
      </c>
      <c r="D128" s="5">
        <v>1</v>
      </c>
      <c r="E128" s="9" t="s">
        <v>2543</v>
      </c>
    </row>
    <row r="129" spans="1:5" x14ac:dyDescent="0.35">
      <c r="A129" s="4" t="s">
        <v>495</v>
      </c>
      <c r="B129" s="5" t="s">
        <v>2423</v>
      </c>
      <c r="C129" s="5" t="s">
        <v>2429</v>
      </c>
      <c r="D129" s="5">
        <v>5</v>
      </c>
      <c r="E129" s="9" t="s">
        <v>2544</v>
      </c>
    </row>
    <row r="130" spans="1:5" x14ac:dyDescent="0.35">
      <c r="A130" s="4" t="s">
        <v>840</v>
      </c>
      <c r="B130" s="5" t="s">
        <v>2423</v>
      </c>
      <c r="C130" s="5" t="s">
        <v>2428</v>
      </c>
      <c r="D130" s="5">
        <v>5</v>
      </c>
      <c r="E130" s="9" t="s">
        <v>2544</v>
      </c>
    </row>
    <row r="131" spans="1:5" x14ac:dyDescent="0.35">
      <c r="A131" s="4" t="s">
        <v>72</v>
      </c>
      <c r="B131" s="5" t="s">
        <v>2423</v>
      </c>
      <c r="C131" s="5" t="s">
        <v>2429</v>
      </c>
      <c r="D131" s="5">
        <v>2</v>
      </c>
      <c r="E131" s="9" t="s">
        <v>2546</v>
      </c>
    </row>
    <row r="132" spans="1:5" x14ac:dyDescent="0.35">
      <c r="A132" s="4" t="s">
        <v>228</v>
      </c>
      <c r="B132" s="5" t="s">
        <v>2424</v>
      </c>
      <c r="C132" s="5" t="s">
        <v>2428</v>
      </c>
      <c r="D132" s="5">
        <v>3</v>
      </c>
      <c r="E132" s="9" t="s">
        <v>2545</v>
      </c>
    </row>
    <row r="133" spans="1:5" x14ac:dyDescent="0.35">
      <c r="A133" s="4" t="s">
        <v>445</v>
      </c>
      <c r="B133" s="5" t="s">
        <v>2423</v>
      </c>
      <c r="C133" s="5" t="s">
        <v>2427</v>
      </c>
      <c r="D133" s="5">
        <v>2</v>
      </c>
      <c r="E133" s="9" t="s">
        <v>2546</v>
      </c>
    </row>
    <row r="134" spans="1:5" x14ac:dyDescent="0.35">
      <c r="A134" s="4" t="s">
        <v>1829</v>
      </c>
      <c r="B134" s="5" t="s">
        <v>2424</v>
      </c>
      <c r="C134" s="5" t="s">
        <v>2428</v>
      </c>
      <c r="D134" s="5">
        <v>4</v>
      </c>
      <c r="E134" s="9" t="s">
        <v>2542</v>
      </c>
    </row>
    <row r="135" spans="1:5" x14ac:dyDescent="0.35">
      <c r="A135" s="4" t="s">
        <v>801</v>
      </c>
      <c r="B135" s="5" t="s">
        <v>2426</v>
      </c>
      <c r="C135" s="5" t="s">
        <v>2430</v>
      </c>
      <c r="D135" s="5">
        <v>2</v>
      </c>
      <c r="E135" s="9" t="s">
        <v>2546</v>
      </c>
    </row>
    <row r="136" spans="1:5" x14ac:dyDescent="0.35">
      <c r="A136" s="4" t="s">
        <v>101</v>
      </c>
      <c r="B136" s="5" t="s">
        <v>2426</v>
      </c>
      <c r="C136" s="5" t="s">
        <v>2430</v>
      </c>
      <c r="D136" s="5">
        <v>2</v>
      </c>
      <c r="E136" s="9" t="s">
        <v>2546</v>
      </c>
    </row>
    <row r="137" spans="1:5" x14ac:dyDescent="0.35">
      <c r="A137" s="4" t="s">
        <v>236</v>
      </c>
      <c r="B137" s="5" t="s">
        <v>2424</v>
      </c>
      <c r="C137" s="5" t="s">
        <v>2425</v>
      </c>
      <c r="D137" s="5">
        <v>4</v>
      </c>
      <c r="E137" s="9" t="s">
        <v>2542</v>
      </c>
    </row>
    <row r="138" spans="1:5" x14ac:dyDescent="0.35">
      <c r="A138" s="4" t="s">
        <v>331</v>
      </c>
      <c r="B138" s="5" t="s">
        <v>2423</v>
      </c>
      <c r="C138" s="5" t="s">
        <v>2430</v>
      </c>
      <c r="D138" s="5">
        <v>4</v>
      </c>
      <c r="E138" s="9" t="s">
        <v>2542</v>
      </c>
    </row>
    <row r="139" spans="1:5" x14ac:dyDescent="0.35">
      <c r="A139" s="4" t="s">
        <v>1054</v>
      </c>
      <c r="B139" s="5" t="s">
        <v>2424</v>
      </c>
      <c r="C139" s="5" t="s">
        <v>2429</v>
      </c>
      <c r="D139" s="5">
        <v>3</v>
      </c>
      <c r="E139" s="9" t="s">
        <v>2545</v>
      </c>
    </row>
    <row r="140" spans="1:5" x14ac:dyDescent="0.35">
      <c r="A140" s="4" t="s">
        <v>702</v>
      </c>
      <c r="B140" s="5" t="s">
        <v>2423</v>
      </c>
      <c r="C140" s="5" t="s">
        <v>2428</v>
      </c>
      <c r="D140" s="5">
        <v>2</v>
      </c>
      <c r="E140" s="9" t="s">
        <v>2546</v>
      </c>
    </row>
    <row r="141" spans="1:5" x14ac:dyDescent="0.35">
      <c r="A141" s="4" t="s">
        <v>949</v>
      </c>
      <c r="B141" s="5" t="s">
        <v>2423</v>
      </c>
      <c r="C141" s="5" t="s">
        <v>2428</v>
      </c>
      <c r="D141" s="5">
        <v>4</v>
      </c>
      <c r="E141" s="9" t="s">
        <v>2542</v>
      </c>
    </row>
    <row r="142" spans="1:5" x14ac:dyDescent="0.35">
      <c r="A142" s="4" t="s">
        <v>964</v>
      </c>
      <c r="B142" s="5" t="s">
        <v>2423</v>
      </c>
      <c r="C142" s="5" t="s">
        <v>2430</v>
      </c>
      <c r="D142" s="5">
        <v>2</v>
      </c>
      <c r="E142" s="9" t="s">
        <v>2546</v>
      </c>
    </row>
    <row r="143" spans="1:5" x14ac:dyDescent="0.35">
      <c r="A143" s="4" t="s">
        <v>609</v>
      </c>
      <c r="B143" s="5" t="s">
        <v>2424</v>
      </c>
      <c r="C143" s="5" t="s">
        <v>2430</v>
      </c>
      <c r="D143" s="5">
        <v>1</v>
      </c>
      <c r="E143" s="9" t="s">
        <v>2543</v>
      </c>
    </row>
    <row r="144" spans="1:5" x14ac:dyDescent="0.35">
      <c r="A144" s="4" t="s">
        <v>206</v>
      </c>
      <c r="B144" s="5" t="s">
        <v>2424</v>
      </c>
      <c r="C144" s="5" t="s">
        <v>2430</v>
      </c>
      <c r="D144" s="5">
        <v>2</v>
      </c>
      <c r="E144" s="9" t="s">
        <v>2546</v>
      </c>
    </row>
    <row r="145" spans="1:5" x14ac:dyDescent="0.35">
      <c r="A145" s="4" t="s">
        <v>597</v>
      </c>
      <c r="B145" s="5" t="s">
        <v>2426</v>
      </c>
      <c r="C145" s="5" t="s">
        <v>2430</v>
      </c>
      <c r="D145" s="5">
        <v>4</v>
      </c>
      <c r="E145" s="9" t="s">
        <v>2542</v>
      </c>
    </row>
    <row r="146" spans="1:5" x14ac:dyDescent="0.35">
      <c r="A146" s="4" t="s">
        <v>577</v>
      </c>
      <c r="B146" s="5" t="s">
        <v>2424</v>
      </c>
      <c r="C146" s="5" t="s">
        <v>2427</v>
      </c>
      <c r="D146" s="5">
        <v>1</v>
      </c>
      <c r="E146" s="9" t="s">
        <v>2543</v>
      </c>
    </row>
    <row r="147" spans="1:5" x14ac:dyDescent="0.35">
      <c r="A147" s="4" t="s">
        <v>1002</v>
      </c>
      <c r="B147" s="5" t="s">
        <v>2423</v>
      </c>
      <c r="C147" s="5" t="s">
        <v>2428</v>
      </c>
      <c r="D147" s="5">
        <v>4</v>
      </c>
      <c r="E147" s="9" t="s">
        <v>2542</v>
      </c>
    </row>
    <row r="148" spans="1:5" x14ac:dyDescent="0.35">
      <c r="A148" s="4" t="s">
        <v>891</v>
      </c>
      <c r="B148" s="5" t="s">
        <v>2424</v>
      </c>
      <c r="C148" s="5" t="s">
        <v>2429</v>
      </c>
      <c r="D148" s="5">
        <v>5</v>
      </c>
      <c r="E148" s="9" t="s">
        <v>2544</v>
      </c>
    </row>
    <row r="149" spans="1:5" x14ac:dyDescent="0.35">
      <c r="A149" s="4" t="s">
        <v>518</v>
      </c>
      <c r="B149" s="5" t="s">
        <v>2424</v>
      </c>
      <c r="C149" s="5" t="s">
        <v>2430</v>
      </c>
      <c r="D149" s="5">
        <v>3</v>
      </c>
      <c r="E149" s="9" t="s">
        <v>2545</v>
      </c>
    </row>
    <row r="150" spans="1:5" x14ac:dyDescent="0.35">
      <c r="A150" s="4" t="s">
        <v>791</v>
      </c>
      <c r="B150" s="5" t="s">
        <v>2423</v>
      </c>
      <c r="C150" s="5" t="s">
        <v>2430</v>
      </c>
      <c r="D150" s="5">
        <v>3</v>
      </c>
      <c r="E150" s="9" t="s">
        <v>2545</v>
      </c>
    </row>
    <row r="151" spans="1:5" x14ac:dyDescent="0.35">
      <c r="A151" s="4" t="s">
        <v>168</v>
      </c>
      <c r="B151" s="5" t="s">
        <v>2426</v>
      </c>
      <c r="C151" s="5" t="s">
        <v>2430</v>
      </c>
      <c r="D151" s="5">
        <v>1</v>
      </c>
      <c r="E151" s="9" t="s">
        <v>2543</v>
      </c>
    </row>
    <row r="152" spans="1:5" x14ac:dyDescent="0.35">
      <c r="A152" s="4" t="s">
        <v>1624</v>
      </c>
      <c r="B152" s="5" t="s">
        <v>2423</v>
      </c>
      <c r="C152" s="5" t="s">
        <v>2428</v>
      </c>
      <c r="D152" s="5">
        <v>2</v>
      </c>
      <c r="E152" s="9" t="s">
        <v>2546</v>
      </c>
    </row>
    <row r="153" spans="1:5" x14ac:dyDescent="0.35">
      <c r="A153" s="4" t="s">
        <v>216</v>
      </c>
      <c r="B153" s="5" t="s">
        <v>2423</v>
      </c>
      <c r="C153" s="5" t="s">
        <v>2425</v>
      </c>
      <c r="D153" s="5">
        <v>4</v>
      </c>
      <c r="E153" s="9" t="s">
        <v>2542</v>
      </c>
    </row>
    <row r="154" spans="1:5" x14ac:dyDescent="0.35">
      <c r="A154" s="4" t="s">
        <v>652</v>
      </c>
      <c r="B154" s="5" t="s">
        <v>2426</v>
      </c>
      <c r="C154" s="5" t="s">
        <v>2429</v>
      </c>
      <c r="D154" s="5">
        <v>3</v>
      </c>
      <c r="E154" s="9" t="s">
        <v>2545</v>
      </c>
    </row>
    <row r="155" spans="1:5" x14ac:dyDescent="0.35">
      <c r="A155" s="4" t="s">
        <v>1248</v>
      </c>
      <c r="B155" s="5" t="s">
        <v>2423</v>
      </c>
      <c r="C155" s="5" t="s">
        <v>2429</v>
      </c>
      <c r="D155" s="5">
        <v>2</v>
      </c>
      <c r="E155" s="9" t="s">
        <v>2546</v>
      </c>
    </row>
    <row r="156" spans="1:5" x14ac:dyDescent="0.35">
      <c r="A156" s="4" t="s">
        <v>1529</v>
      </c>
      <c r="B156" s="5" t="s">
        <v>2423</v>
      </c>
      <c r="C156" s="5" t="s">
        <v>2430</v>
      </c>
      <c r="D156" s="5">
        <v>3</v>
      </c>
      <c r="E156" s="9" t="s">
        <v>2545</v>
      </c>
    </row>
    <row r="157" spans="1:5" x14ac:dyDescent="0.35">
      <c r="A157" s="4" t="s">
        <v>1122</v>
      </c>
      <c r="B157" s="5" t="s">
        <v>2423</v>
      </c>
      <c r="C157" s="5" t="s">
        <v>2427</v>
      </c>
      <c r="D157" s="5">
        <v>5</v>
      </c>
      <c r="E157" s="9" t="s">
        <v>2544</v>
      </c>
    </row>
    <row r="158" spans="1:5" x14ac:dyDescent="0.35">
      <c r="A158" s="4" t="s">
        <v>41</v>
      </c>
      <c r="B158" s="5" t="s">
        <v>2423</v>
      </c>
      <c r="C158" s="5" t="s">
        <v>2428</v>
      </c>
      <c r="D158" s="5">
        <v>5</v>
      </c>
      <c r="E158" s="9" t="s">
        <v>2544</v>
      </c>
    </row>
    <row r="159" spans="1:5" x14ac:dyDescent="0.35">
      <c r="A159" s="4" t="s">
        <v>1066</v>
      </c>
      <c r="B159" s="5" t="s">
        <v>2424</v>
      </c>
      <c r="C159" s="5" t="s">
        <v>2425</v>
      </c>
      <c r="D159" s="5">
        <v>4</v>
      </c>
      <c r="E159" s="9" t="s">
        <v>2542</v>
      </c>
    </row>
    <row r="160" spans="1:5" x14ac:dyDescent="0.35">
      <c r="A160" s="4" t="s">
        <v>1242</v>
      </c>
      <c r="B160" s="5" t="s">
        <v>2423</v>
      </c>
      <c r="C160" s="5" t="s">
        <v>2430</v>
      </c>
      <c r="D160" s="5">
        <v>1</v>
      </c>
      <c r="E160" s="9" t="s">
        <v>2543</v>
      </c>
    </row>
    <row r="161" spans="1:5" x14ac:dyDescent="0.35">
      <c r="A161" s="4" t="s">
        <v>1112</v>
      </c>
      <c r="B161" s="5" t="s">
        <v>2424</v>
      </c>
      <c r="C161" s="5" t="s">
        <v>2429</v>
      </c>
      <c r="D161" s="5">
        <v>3</v>
      </c>
      <c r="E161" s="9" t="s">
        <v>2545</v>
      </c>
    </row>
    <row r="162" spans="1:5" x14ac:dyDescent="0.35">
      <c r="A162" s="4" t="s">
        <v>472</v>
      </c>
      <c r="B162" s="5" t="s">
        <v>2423</v>
      </c>
      <c r="C162" s="5" t="s">
        <v>2425</v>
      </c>
      <c r="D162" s="5">
        <v>3</v>
      </c>
      <c r="E162" s="9" t="s">
        <v>2545</v>
      </c>
    </row>
    <row r="163" spans="1:5" x14ac:dyDescent="0.35">
      <c r="A163" s="4" t="s">
        <v>219</v>
      </c>
      <c r="B163" s="5" t="s">
        <v>2424</v>
      </c>
      <c r="C163" s="5" t="s">
        <v>2430</v>
      </c>
      <c r="D163" s="5">
        <v>5</v>
      </c>
      <c r="E163" s="9" t="s">
        <v>2544</v>
      </c>
    </row>
    <row r="164" spans="1:5" x14ac:dyDescent="0.35">
      <c r="A164" s="4" t="s">
        <v>538</v>
      </c>
      <c r="B164" s="5" t="s">
        <v>2424</v>
      </c>
      <c r="C164" s="5" t="s">
        <v>2425</v>
      </c>
      <c r="D164" s="5">
        <v>3</v>
      </c>
      <c r="E164" s="9" t="s">
        <v>2545</v>
      </c>
    </row>
    <row r="165" spans="1:5" x14ac:dyDescent="0.35">
      <c r="A165" s="4" t="s">
        <v>288</v>
      </c>
      <c r="B165" s="5" t="s">
        <v>2423</v>
      </c>
      <c r="C165" s="5" t="s">
        <v>2428</v>
      </c>
      <c r="D165" s="5">
        <v>2</v>
      </c>
      <c r="E165" s="9" t="s">
        <v>2546</v>
      </c>
    </row>
    <row r="166" spans="1:5" x14ac:dyDescent="0.35">
      <c r="A166" s="4" t="s">
        <v>117</v>
      </c>
      <c r="B166" s="5" t="s">
        <v>2426</v>
      </c>
      <c r="C166" s="5" t="s">
        <v>2429</v>
      </c>
      <c r="D166" s="5">
        <v>1</v>
      </c>
      <c r="E166" s="9" t="s">
        <v>2543</v>
      </c>
    </row>
    <row r="167" spans="1:5" x14ac:dyDescent="0.35">
      <c r="A167" s="4" t="s">
        <v>842</v>
      </c>
      <c r="B167" s="5" t="s">
        <v>2423</v>
      </c>
      <c r="C167" s="5" t="s">
        <v>2430</v>
      </c>
      <c r="D167" s="5">
        <v>1</v>
      </c>
      <c r="E167" s="9" t="s">
        <v>2543</v>
      </c>
    </row>
    <row r="168" spans="1:5" x14ac:dyDescent="0.35">
      <c r="A168" s="4" t="s">
        <v>1460</v>
      </c>
      <c r="B168" s="5" t="s">
        <v>2426</v>
      </c>
      <c r="C168" s="5" t="s">
        <v>2425</v>
      </c>
      <c r="D168" s="5">
        <v>2</v>
      </c>
      <c r="E168" s="9" t="s">
        <v>2546</v>
      </c>
    </row>
    <row r="169" spans="1:5" x14ac:dyDescent="0.35">
      <c r="A169" s="4" t="s">
        <v>532</v>
      </c>
      <c r="B169" s="5" t="s">
        <v>2426</v>
      </c>
      <c r="C169" s="5" t="s">
        <v>2428</v>
      </c>
      <c r="D169" s="5">
        <v>3</v>
      </c>
      <c r="E169" s="9" t="s">
        <v>2545</v>
      </c>
    </row>
    <row r="170" spans="1:5" x14ac:dyDescent="0.35">
      <c r="A170" s="4" t="s">
        <v>483</v>
      </c>
      <c r="B170" s="5" t="s">
        <v>2423</v>
      </c>
      <c r="C170" s="5" t="s">
        <v>2428</v>
      </c>
      <c r="D170" s="5">
        <v>5</v>
      </c>
      <c r="E170" s="9" t="s">
        <v>2544</v>
      </c>
    </row>
    <row r="171" spans="1:5" x14ac:dyDescent="0.35">
      <c r="A171" s="4" t="s">
        <v>233</v>
      </c>
      <c r="B171" s="5" t="s">
        <v>2423</v>
      </c>
      <c r="C171" s="5" t="s">
        <v>2425</v>
      </c>
      <c r="D171" s="5">
        <v>4</v>
      </c>
      <c r="E171" s="9" t="s">
        <v>2542</v>
      </c>
    </row>
    <row r="172" spans="1:5" x14ac:dyDescent="0.35">
      <c r="A172" s="4" t="s">
        <v>709</v>
      </c>
      <c r="B172" s="5" t="s">
        <v>2424</v>
      </c>
      <c r="C172" s="5" t="s">
        <v>2429</v>
      </c>
      <c r="D172" s="5">
        <v>4</v>
      </c>
      <c r="E172" s="9" t="s">
        <v>2542</v>
      </c>
    </row>
    <row r="173" spans="1:5" x14ac:dyDescent="0.35">
      <c r="A173" s="4" t="s">
        <v>447</v>
      </c>
      <c r="B173" s="5" t="s">
        <v>2423</v>
      </c>
      <c r="C173" s="5" t="s">
        <v>2427</v>
      </c>
      <c r="D173" s="5">
        <v>2</v>
      </c>
      <c r="E173" s="9" t="s">
        <v>2546</v>
      </c>
    </row>
    <row r="174" spans="1:5" x14ac:dyDescent="0.35">
      <c r="A174" s="4" t="s">
        <v>18</v>
      </c>
      <c r="B174" s="5" t="s">
        <v>2423</v>
      </c>
      <c r="C174" s="5" t="s">
        <v>2425</v>
      </c>
      <c r="D174" s="5">
        <v>1</v>
      </c>
      <c r="E174" s="9" t="s">
        <v>2543</v>
      </c>
    </row>
    <row r="175" spans="1:5" x14ac:dyDescent="0.35">
      <c r="A175" s="4" t="s">
        <v>643</v>
      </c>
      <c r="B175" s="5" t="s">
        <v>2424</v>
      </c>
      <c r="C175" s="5" t="s">
        <v>2429</v>
      </c>
      <c r="D175" s="5">
        <v>4</v>
      </c>
      <c r="E175" s="9" t="s">
        <v>2542</v>
      </c>
    </row>
    <row r="176" spans="1:5" x14ac:dyDescent="0.35">
      <c r="A176" s="4" t="s">
        <v>209</v>
      </c>
      <c r="B176" s="5" t="s">
        <v>2426</v>
      </c>
      <c r="C176" s="5" t="s">
        <v>2425</v>
      </c>
      <c r="D176" s="5">
        <v>4</v>
      </c>
      <c r="E176" s="9" t="s">
        <v>2542</v>
      </c>
    </row>
    <row r="177" spans="1:5" x14ac:dyDescent="0.35">
      <c r="A177" s="4" t="s">
        <v>1398</v>
      </c>
      <c r="B177" s="5" t="s">
        <v>2424</v>
      </c>
      <c r="C177" s="5" t="s">
        <v>2425</v>
      </c>
      <c r="D177" s="5">
        <v>4</v>
      </c>
      <c r="E177" s="9" t="s">
        <v>2542</v>
      </c>
    </row>
    <row r="178" spans="1:5" x14ac:dyDescent="0.35">
      <c r="A178" s="4" t="s">
        <v>64</v>
      </c>
      <c r="B178" s="5" t="s">
        <v>2423</v>
      </c>
      <c r="C178" s="5" t="s">
        <v>2427</v>
      </c>
      <c r="D178" s="5">
        <v>3</v>
      </c>
      <c r="E178" s="9" t="s">
        <v>2545</v>
      </c>
    </row>
    <row r="179" spans="1:5" x14ac:dyDescent="0.35">
      <c r="A179" s="4" t="s">
        <v>25</v>
      </c>
      <c r="B179" s="5" t="s">
        <v>2424</v>
      </c>
      <c r="C179" s="5" t="s">
        <v>2430</v>
      </c>
      <c r="D179" s="5">
        <v>4</v>
      </c>
      <c r="E179" s="9" t="s">
        <v>2542</v>
      </c>
    </row>
    <row r="180" spans="1:5" x14ac:dyDescent="0.35">
      <c r="A180" s="4" t="s">
        <v>998</v>
      </c>
      <c r="B180" s="5" t="s">
        <v>2424</v>
      </c>
      <c r="C180" s="5" t="s">
        <v>2427</v>
      </c>
      <c r="D180" s="5">
        <v>1</v>
      </c>
      <c r="E180" s="9" t="s">
        <v>2543</v>
      </c>
    </row>
    <row r="181" spans="1:5" x14ac:dyDescent="0.35">
      <c r="A181" s="4" t="s">
        <v>438</v>
      </c>
      <c r="B181" s="5" t="s">
        <v>2424</v>
      </c>
      <c r="C181" s="5" t="s">
        <v>2430</v>
      </c>
      <c r="D181" s="5">
        <v>5</v>
      </c>
      <c r="E181" s="9" t="s">
        <v>2544</v>
      </c>
    </row>
    <row r="182" spans="1:5" x14ac:dyDescent="0.35">
      <c r="A182" s="4" t="s">
        <v>407</v>
      </c>
      <c r="B182" s="5" t="s">
        <v>2426</v>
      </c>
      <c r="C182" s="5" t="s">
        <v>2427</v>
      </c>
      <c r="D182" s="5">
        <v>4</v>
      </c>
      <c r="E182" s="9" t="s">
        <v>2542</v>
      </c>
    </row>
    <row r="183" spans="1:5" x14ac:dyDescent="0.35">
      <c r="A183" s="4" t="s">
        <v>691</v>
      </c>
      <c r="B183" s="5" t="s">
        <v>2424</v>
      </c>
      <c r="C183" s="5" t="s">
        <v>2425</v>
      </c>
      <c r="D183" s="5">
        <v>4</v>
      </c>
      <c r="E183" s="9" t="s">
        <v>2542</v>
      </c>
    </row>
    <row r="184" spans="1:5" x14ac:dyDescent="0.35">
      <c r="A184" s="4" t="s">
        <v>1019</v>
      </c>
      <c r="B184" s="5" t="s">
        <v>2424</v>
      </c>
      <c r="C184" s="5" t="s">
        <v>2427</v>
      </c>
      <c r="D184" s="5">
        <v>3</v>
      </c>
      <c r="E184" s="9" t="s">
        <v>2545</v>
      </c>
    </row>
    <row r="185" spans="1:5" x14ac:dyDescent="0.35">
      <c r="A185" s="4" t="s">
        <v>353</v>
      </c>
      <c r="B185" s="5" t="s">
        <v>2426</v>
      </c>
      <c r="C185" s="5" t="s">
        <v>2430</v>
      </c>
      <c r="D185" s="5">
        <v>3</v>
      </c>
      <c r="E185" s="9" t="s">
        <v>2545</v>
      </c>
    </row>
    <row r="186" spans="1:5" x14ac:dyDescent="0.35">
      <c r="A186" s="4" t="s">
        <v>983</v>
      </c>
      <c r="B186" s="5" t="s">
        <v>2423</v>
      </c>
      <c r="C186" s="5" t="s">
        <v>2427</v>
      </c>
      <c r="D186" s="5">
        <v>4</v>
      </c>
      <c r="E186" s="9" t="s">
        <v>2542</v>
      </c>
    </row>
    <row r="187" spans="1:5" x14ac:dyDescent="0.35">
      <c r="A187" s="4" t="s">
        <v>59</v>
      </c>
      <c r="B187" s="5" t="s">
        <v>2426</v>
      </c>
      <c r="C187" s="5" t="s">
        <v>2427</v>
      </c>
      <c r="D187" s="5">
        <v>2</v>
      </c>
      <c r="E187" s="9" t="s">
        <v>2546</v>
      </c>
    </row>
    <row r="188" spans="1:5" x14ac:dyDescent="0.35">
      <c r="A188" s="4" t="s">
        <v>738</v>
      </c>
      <c r="B188" s="5" t="s">
        <v>2426</v>
      </c>
      <c r="C188" s="5" t="s">
        <v>2429</v>
      </c>
      <c r="D188" s="5">
        <v>1</v>
      </c>
      <c r="E188" s="9" t="s">
        <v>2543</v>
      </c>
    </row>
    <row r="189" spans="1:5" x14ac:dyDescent="0.35">
      <c r="A189" s="4" t="s">
        <v>770</v>
      </c>
      <c r="B189" s="5" t="s">
        <v>2424</v>
      </c>
      <c r="C189" s="5" t="s">
        <v>2427</v>
      </c>
      <c r="D189" s="5">
        <v>4</v>
      </c>
      <c r="E189" s="9" t="s">
        <v>2542</v>
      </c>
    </row>
    <row r="190" spans="1:5" x14ac:dyDescent="0.35">
      <c r="A190" s="4" t="s">
        <v>971</v>
      </c>
      <c r="B190" s="5" t="s">
        <v>2426</v>
      </c>
      <c r="C190" s="5" t="s">
        <v>2429</v>
      </c>
      <c r="D190" s="5">
        <v>2</v>
      </c>
      <c r="E190" s="9" t="s">
        <v>2546</v>
      </c>
    </row>
    <row r="191" spans="1:5" x14ac:dyDescent="0.35">
      <c r="A191" s="4" t="s">
        <v>177</v>
      </c>
      <c r="B191" s="5" t="s">
        <v>2423</v>
      </c>
      <c r="C191" s="5" t="s">
        <v>2428</v>
      </c>
      <c r="D191" s="5">
        <v>2</v>
      </c>
      <c r="E191" s="9" t="s">
        <v>2546</v>
      </c>
    </row>
    <row r="192" spans="1:5" x14ac:dyDescent="0.35">
      <c r="A192" s="4" t="s">
        <v>429</v>
      </c>
      <c r="B192" s="5" t="s">
        <v>2426</v>
      </c>
      <c r="C192" s="5" t="s">
        <v>2428</v>
      </c>
      <c r="D192" s="5">
        <v>5</v>
      </c>
      <c r="E192" s="9" t="s">
        <v>2544</v>
      </c>
    </row>
    <row r="193" spans="1:5" x14ac:dyDescent="0.35">
      <c r="A193" s="4" t="s">
        <v>317</v>
      </c>
      <c r="B193" s="5" t="s">
        <v>2423</v>
      </c>
      <c r="C193" s="5" t="s">
        <v>2428</v>
      </c>
      <c r="D193" s="5">
        <v>5</v>
      </c>
      <c r="E193" s="9" t="s">
        <v>2544</v>
      </c>
    </row>
    <row r="194" spans="1:5" x14ac:dyDescent="0.35">
      <c r="A194" s="4" t="s">
        <v>154</v>
      </c>
      <c r="B194" s="5" t="s">
        <v>2423</v>
      </c>
      <c r="C194" s="5" t="s">
        <v>2430</v>
      </c>
      <c r="D194" s="5">
        <v>4</v>
      </c>
      <c r="E194" s="9" t="s">
        <v>2542</v>
      </c>
    </row>
    <row r="195" spans="1:5" x14ac:dyDescent="0.35">
      <c r="A195" s="4" t="s">
        <v>410</v>
      </c>
      <c r="B195" s="5" t="s">
        <v>2426</v>
      </c>
      <c r="C195" s="5" t="s">
        <v>2429</v>
      </c>
      <c r="D195" s="5">
        <v>5</v>
      </c>
      <c r="E195" s="9" t="s">
        <v>2544</v>
      </c>
    </row>
    <row r="196" spans="1:5" x14ac:dyDescent="0.35">
      <c r="A196" s="4" t="s">
        <v>387</v>
      </c>
      <c r="B196" s="5" t="s">
        <v>2426</v>
      </c>
      <c r="C196" s="5" t="s">
        <v>2429</v>
      </c>
      <c r="D196" s="5">
        <v>4</v>
      </c>
      <c r="E196" s="9" t="s">
        <v>2542</v>
      </c>
    </row>
    <row r="197" spans="1:5" x14ac:dyDescent="0.35">
      <c r="A197" s="4" t="s">
        <v>374</v>
      </c>
      <c r="B197" s="5" t="s">
        <v>2426</v>
      </c>
      <c r="C197" s="5" t="s">
        <v>2425</v>
      </c>
      <c r="D197" s="5">
        <v>3</v>
      </c>
      <c r="E197" s="9" t="s">
        <v>2545</v>
      </c>
    </row>
    <row r="198" spans="1:5" x14ac:dyDescent="0.35">
      <c r="A198" s="4" t="s">
        <v>767</v>
      </c>
      <c r="B198" s="5" t="s">
        <v>2423</v>
      </c>
      <c r="C198" s="5" t="s">
        <v>2429</v>
      </c>
      <c r="D198" s="5">
        <v>2</v>
      </c>
      <c r="E198" s="9" t="s">
        <v>2546</v>
      </c>
    </row>
    <row r="199" spans="1:5" x14ac:dyDescent="0.35">
      <c r="A199" s="4" t="s">
        <v>440</v>
      </c>
      <c r="B199" s="5" t="s">
        <v>2426</v>
      </c>
      <c r="C199" s="5" t="s">
        <v>2430</v>
      </c>
      <c r="D199" s="5">
        <v>3</v>
      </c>
      <c r="E199" s="9" t="s">
        <v>2545</v>
      </c>
    </row>
    <row r="200" spans="1:5" x14ac:dyDescent="0.35">
      <c r="A200" s="4" t="s">
        <v>896</v>
      </c>
      <c r="B200" s="5" t="s">
        <v>2423</v>
      </c>
      <c r="C200" s="5" t="s">
        <v>2427</v>
      </c>
      <c r="D200" s="5">
        <v>1</v>
      </c>
      <c r="E200" s="9" t="s">
        <v>2543</v>
      </c>
    </row>
    <row r="201" spans="1:5" x14ac:dyDescent="0.35">
      <c r="A201" s="4" t="s">
        <v>145</v>
      </c>
      <c r="B201" s="5" t="s">
        <v>2426</v>
      </c>
      <c r="C201" s="5" t="s">
        <v>2425</v>
      </c>
      <c r="D201" s="5">
        <v>2</v>
      </c>
      <c r="E201" s="9" t="s">
        <v>2546</v>
      </c>
    </row>
    <row r="202" spans="1:5" x14ac:dyDescent="0.35">
      <c r="A202" s="4" t="s">
        <v>835</v>
      </c>
      <c r="B202" s="5" t="s">
        <v>2424</v>
      </c>
      <c r="C202" s="5" t="s">
        <v>2428</v>
      </c>
      <c r="D202" s="5">
        <v>4</v>
      </c>
      <c r="E202" s="9" t="s">
        <v>2542</v>
      </c>
    </row>
    <row r="203" spans="1:5" x14ac:dyDescent="0.35">
      <c r="A203" s="4" t="s">
        <v>56</v>
      </c>
      <c r="B203" s="5" t="s">
        <v>2423</v>
      </c>
      <c r="C203" s="5" t="s">
        <v>2427</v>
      </c>
      <c r="D203" s="5">
        <v>3</v>
      </c>
      <c r="E203" s="9" t="s">
        <v>2545</v>
      </c>
    </row>
    <row r="204" spans="1:5" x14ac:dyDescent="0.35">
      <c r="A204" s="4" t="s">
        <v>340</v>
      </c>
      <c r="B204" s="5" t="s">
        <v>2423</v>
      </c>
      <c r="C204" s="5" t="s">
        <v>2430</v>
      </c>
      <c r="D204" s="5">
        <v>4</v>
      </c>
      <c r="E204" s="9" t="s">
        <v>2542</v>
      </c>
    </row>
    <row r="205" spans="1:5" x14ac:dyDescent="0.35">
      <c r="A205" s="4" t="s">
        <v>977</v>
      </c>
      <c r="B205" s="5" t="s">
        <v>2426</v>
      </c>
      <c r="C205" s="5" t="s">
        <v>2425</v>
      </c>
      <c r="D205" s="5">
        <v>4</v>
      </c>
      <c r="E205" s="9" t="s">
        <v>2542</v>
      </c>
    </row>
    <row r="206" spans="1:5" x14ac:dyDescent="0.35">
      <c r="A206" s="4" t="s">
        <v>812</v>
      </c>
      <c r="B206" s="5" t="s">
        <v>2426</v>
      </c>
      <c r="C206" s="5" t="s">
        <v>2425</v>
      </c>
      <c r="D206" s="5">
        <v>3</v>
      </c>
      <c r="E206" s="9" t="s">
        <v>2545</v>
      </c>
    </row>
    <row r="207" spans="1:5" x14ac:dyDescent="0.35">
      <c r="A207" s="4" t="s">
        <v>414</v>
      </c>
      <c r="B207" s="5" t="s">
        <v>2426</v>
      </c>
      <c r="C207" s="5" t="s">
        <v>2425</v>
      </c>
      <c r="D207" s="5">
        <v>2</v>
      </c>
      <c r="E207" s="9" t="s">
        <v>2546</v>
      </c>
    </row>
    <row r="208" spans="1:5" x14ac:dyDescent="0.35">
      <c r="A208" s="4" t="s">
        <v>1178</v>
      </c>
      <c r="B208" s="5" t="s">
        <v>2423</v>
      </c>
      <c r="C208" s="5" t="s">
        <v>2427</v>
      </c>
      <c r="D208" s="5">
        <v>2</v>
      </c>
      <c r="E208" s="9" t="s">
        <v>2546</v>
      </c>
    </row>
    <row r="209" spans="1:5" x14ac:dyDescent="0.35">
      <c r="A209" s="4" t="s">
        <v>570</v>
      </c>
      <c r="B209" s="5" t="s">
        <v>2424</v>
      </c>
      <c r="C209" s="5" t="s">
        <v>2429</v>
      </c>
      <c r="D209" s="5">
        <v>1</v>
      </c>
      <c r="E209" s="9" t="s">
        <v>2543</v>
      </c>
    </row>
    <row r="210" spans="1:5" x14ac:dyDescent="0.35">
      <c r="A210" s="4" t="s">
        <v>1034</v>
      </c>
      <c r="B210" s="5" t="s">
        <v>2424</v>
      </c>
      <c r="C210" s="5" t="s">
        <v>2425</v>
      </c>
      <c r="D210" s="5">
        <v>1</v>
      </c>
      <c r="E210" s="9" t="s">
        <v>2543</v>
      </c>
    </row>
    <row r="211" spans="1:5" x14ac:dyDescent="0.35">
      <c r="A211" s="4" t="s">
        <v>616</v>
      </c>
      <c r="B211" s="5" t="s">
        <v>2426</v>
      </c>
      <c r="C211" s="5" t="s">
        <v>2428</v>
      </c>
      <c r="D211" s="5">
        <v>3</v>
      </c>
      <c r="E211" s="9" t="s">
        <v>2545</v>
      </c>
    </row>
    <row r="212" spans="1:5" x14ac:dyDescent="0.35">
      <c r="A212" s="4" t="s">
        <v>12</v>
      </c>
      <c r="B212" s="5" t="s">
        <v>2423</v>
      </c>
      <c r="C212" s="5" t="s">
        <v>2427</v>
      </c>
      <c r="D212" s="5">
        <v>5</v>
      </c>
      <c r="E212" s="9" t="s">
        <v>2544</v>
      </c>
    </row>
    <row r="213" spans="1:5" x14ac:dyDescent="0.35">
      <c r="A213" s="4" t="s">
        <v>338</v>
      </c>
      <c r="B213" s="5" t="s">
        <v>2423</v>
      </c>
      <c r="C213" s="5" t="s">
        <v>2429</v>
      </c>
      <c r="D213" s="5">
        <v>5</v>
      </c>
      <c r="E213" s="9" t="s">
        <v>2544</v>
      </c>
    </row>
    <row r="214" spans="1:5" x14ac:dyDescent="0.35">
      <c r="A214" s="4" t="s">
        <v>382</v>
      </c>
      <c r="B214" s="5" t="s">
        <v>2424</v>
      </c>
      <c r="C214" s="5" t="s">
        <v>2429</v>
      </c>
      <c r="D214" s="5">
        <v>5</v>
      </c>
      <c r="E214" s="9" t="s">
        <v>2544</v>
      </c>
    </row>
    <row r="215" spans="1:5" x14ac:dyDescent="0.35">
      <c r="A215" s="4" t="s">
        <v>778</v>
      </c>
      <c r="B215" s="5" t="s">
        <v>2423</v>
      </c>
      <c r="C215" s="5" t="s">
        <v>2429</v>
      </c>
      <c r="D215" s="5">
        <v>5</v>
      </c>
      <c r="E215" s="9" t="s">
        <v>2544</v>
      </c>
    </row>
    <row r="216" spans="1:5" x14ac:dyDescent="0.35">
      <c r="A216" s="4" t="s">
        <v>1069</v>
      </c>
      <c r="B216" s="5" t="s">
        <v>2423</v>
      </c>
      <c r="C216" s="5" t="s">
        <v>2429</v>
      </c>
      <c r="D216" s="5">
        <v>3</v>
      </c>
      <c r="E216" s="9" t="s">
        <v>2545</v>
      </c>
    </row>
    <row r="217" spans="1:5" x14ac:dyDescent="0.35">
      <c r="A217" s="4" t="s">
        <v>561</v>
      </c>
      <c r="B217" s="5" t="s">
        <v>2424</v>
      </c>
      <c r="C217" s="5" t="s">
        <v>2430</v>
      </c>
      <c r="D217" s="5">
        <v>3</v>
      </c>
      <c r="E217" s="9" t="s">
        <v>2545</v>
      </c>
    </row>
    <row r="218" spans="1:5" x14ac:dyDescent="0.35">
      <c r="A218" s="4" t="s">
        <v>1115</v>
      </c>
      <c r="B218" s="5" t="s">
        <v>2426</v>
      </c>
      <c r="C218" s="5" t="s">
        <v>2425</v>
      </c>
      <c r="D218" s="5">
        <v>3</v>
      </c>
      <c r="E218" s="9" t="s">
        <v>2545</v>
      </c>
    </row>
    <row r="219" spans="1:5" x14ac:dyDescent="0.35">
      <c r="A219" s="4" t="s">
        <v>1166</v>
      </c>
      <c r="B219" s="5" t="s">
        <v>2423</v>
      </c>
      <c r="C219" s="5" t="s">
        <v>2428</v>
      </c>
      <c r="D219" s="5">
        <v>1</v>
      </c>
      <c r="E219" s="9" t="s">
        <v>2543</v>
      </c>
    </row>
    <row r="220" spans="1:5" x14ac:dyDescent="0.35">
      <c r="A220" s="4" t="s">
        <v>455</v>
      </c>
      <c r="B220" s="5" t="s">
        <v>2424</v>
      </c>
      <c r="C220" s="5" t="s">
        <v>2427</v>
      </c>
      <c r="D220" s="5">
        <v>2</v>
      </c>
      <c r="E220" s="9" t="s">
        <v>2546</v>
      </c>
    </row>
    <row r="221" spans="1:5" x14ac:dyDescent="0.35">
      <c r="A221" s="4" t="s">
        <v>380</v>
      </c>
      <c r="B221" s="5" t="s">
        <v>2424</v>
      </c>
      <c r="C221" s="5" t="s">
        <v>2427</v>
      </c>
      <c r="D221" s="5">
        <v>3</v>
      </c>
      <c r="E221" s="9" t="s">
        <v>2545</v>
      </c>
    </row>
    <row r="222" spans="1:5" x14ac:dyDescent="0.35">
      <c r="A222" s="4" t="s">
        <v>1154</v>
      </c>
      <c r="B222" s="5" t="s">
        <v>2424</v>
      </c>
      <c r="C222" s="5" t="s">
        <v>2430</v>
      </c>
      <c r="D222" s="5">
        <v>1</v>
      </c>
      <c r="E222" s="9" t="s">
        <v>2543</v>
      </c>
    </row>
    <row r="223" spans="1:5" x14ac:dyDescent="0.35">
      <c r="A223" s="4" t="s">
        <v>303</v>
      </c>
      <c r="B223" s="5" t="s">
        <v>2424</v>
      </c>
      <c r="C223" s="5" t="s">
        <v>2427</v>
      </c>
      <c r="D223" s="5">
        <v>5</v>
      </c>
      <c r="E223" s="9" t="s">
        <v>2544</v>
      </c>
    </row>
    <row r="224" spans="1:5" x14ac:dyDescent="0.35">
      <c r="A224" s="4" t="s">
        <v>88</v>
      </c>
      <c r="B224" s="5" t="s">
        <v>2423</v>
      </c>
      <c r="C224" s="5" t="s">
        <v>2427</v>
      </c>
      <c r="D224" s="5">
        <v>1</v>
      </c>
      <c r="E224" s="9" t="s">
        <v>2543</v>
      </c>
    </row>
    <row r="225" spans="1:5" x14ac:dyDescent="0.35">
      <c r="A225" s="4" t="s">
        <v>335</v>
      </c>
      <c r="B225" s="5" t="s">
        <v>2426</v>
      </c>
      <c r="C225" s="5" t="s">
        <v>2428</v>
      </c>
      <c r="D225" s="5">
        <v>1</v>
      </c>
      <c r="E225" s="9" t="s">
        <v>2543</v>
      </c>
    </row>
    <row r="226" spans="1:5" x14ac:dyDescent="0.35">
      <c r="A226" s="4" t="s">
        <v>1593</v>
      </c>
      <c r="B226" s="5" t="s">
        <v>2423</v>
      </c>
      <c r="C226" s="5" t="s">
        <v>2425</v>
      </c>
      <c r="D226" s="5">
        <v>3</v>
      </c>
      <c r="E226" s="9" t="s">
        <v>2545</v>
      </c>
    </row>
    <row r="227" spans="1:5" x14ac:dyDescent="0.35">
      <c r="A227" s="4" t="s">
        <v>672</v>
      </c>
      <c r="B227" s="5" t="s">
        <v>2426</v>
      </c>
      <c r="C227" s="5" t="s">
        <v>2427</v>
      </c>
      <c r="D227" s="5">
        <v>3</v>
      </c>
      <c r="E227" s="9" t="s">
        <v>2545</v>
      </c>
    </row>
    <row r="228" spans="1:5" x14ac:dyDescent="0.35">
      <c r="A228" s="4" t="s">
        <v>894</v>
      </c>
      <c r="B228" s="5" t="s">
        <v>2423</v>
      </c>
      <c r="C228" s="5" t="s">
        <v>2425</v>
      </c>
      <c r="D228" s="5">
        <v>4</v>
      </c>
      <c r="E228" s="9" t="s">
        <v>2542</v>
      </c>
    </row>
    <row r="229" spans="1:5" x14ac:dyDescent="0.35">
      <c r="A229" s="4" t="s">
        <v>866</v>
      </c>
      <c r="B229" s="5" t="s">
        <v>2424</v>
      </c>
      <c r="C229" s="5" t="s">
        <v>2427</v>
      </c>
      <c r="D229" s="5">
        <v>5</v>
      </c>
      <c r="E229" s="9" t="s">
        <v>2544</v>
      </c>
    </row>
    <row r="230" spans="1:5" x14ac:dyDescent="0.35">
      <c r="A230" s="4" t="s">
        <v>583</v>
      </c>
      <c r="B230" s="5" t="s">
        <v>2423</v>
      </c>
      <c r="C230" s="5" t="s">
        <v>2428</v>
      </c>
      <c r="D230" s="5">
        <v>4</v>
      </c>
      <c r="E230" s="9" t="s">
        <v>2542</v>
      </c>
    </row>
    <row r="231" spans="1:5" x14ac:dyDescent="0.35">
      <c r="A231" s="4" t="s">
        <v>1042</v>
      </c>
      <c r="B231" s="5" t="s">
        <v>2423</v>
      </c>
      <c r="C231" s="5" t="s">
        <v>2427</v>
      </c>
      <c r="D231" s="5">
        <v>2</v>
      </c>
      <c r="E231" s="9" t="s">
        <v>2546</v>
      </c>
    </row>
    <row r="232" spans="1:5" x14ac:dyDescent="0.35">
      <c r="A232" s="4" t="s">
        <v>225</v>
      </c>
      <c r="B232" s="5" t="s">
        <v>2424</v>
      </c>
      <c r="C232" s="5" t="s">
        <v>2427</v>
      </c>
      <c r="D232" s="5">
        <v>4</v>
      </c>
      <c r="E232" s="9" t="s">
        <v>2542</v>
      </c>
    </row>
    <row r="233" spans="1:5" x14ac:dyDescent="0.35">
      <c r="A233" s="4" t="s">
        <v>486</v>
      </c>
      <c r="B233" s="5" t="s">
        <v>2423</v>
      </c>
      <c r="C233" s="5" t="s">
        <v>2428</v>
      </c>
      <c r="D233" s="5">
        <v>5</v>
      </c>
      <c r="E233" s="9" t="s">
        <v>2544</v>
      </c>
    </row>
    <row r="234" spans="1:5" x14ac:dyDescent="0.35">
      <c r="A234" s="4" t="s">
        <v>142</v>
      </c>
      <c r="B234" s="5" t="s">
        <v>2426</v>
      </c>
      <c r="C234" s="5" t="s">
        <v>2428</v>
      </c>
      <c r="D234" s="5">
        <v>5</v>
      </c>
      <c r="E234" s="9" t="s">
        <v>2544</v>
      </c>
    </row>
    <row r="235" spans="1:5" x14ac:dyDescent="0.35">
      <c r="A235" s="4" t="s">
        <v>1794</v>
      </c>
      <c r="B235" s="5" t="s">
        <v>2424</v>
      </c>
      <c r="C235" s="5" t="s">
        <v>2428</v>
      </c>
      <c r="D235" s="5">
        <v>3</v>
      </c>
      <c r="E235" s="9" t="s">
        <v>2545</v>
      </c>
    </row>
    <row r="236" spans="1:5" x14ac:dyDescent="0.35">
      <c r="A236" s="4" t="s">
        <v>674</v>
      </c>
      <c r="B236" s="5" t="s">
        <v>2423</v>
      </c>
      <c r="C236" s="5" t="s">
        <v>2429</v>
      </c>
      <c r="D236" s="5">
        <v>5</v>
      </c>
      <c r="E236" s="9" t="s">
        <v>2544</v>
      </c>
    </row>
    <row r="237" spans="1:5" x14ac:dyDescent="0.35">
      <c r="A237" s="4" t="s">
        <v>782</v>
      </c>
      <c r="B237" s="5" t="s">
        <v>2426</v>
      </c>
      <c r="C237" s="5" t="s">
        <v>2429</v>
      </c>
      <c r="D237" s="5">
        <v>5</v>
      </c>
      <c r="E237" s="9" t="s">
        <v>2544</v>
      </c>
    </row>
    <row r="238" spans="1:5" x14ac:dyDescent="0.35">
      <c r="A238" s="4" t="s">
        <v>646</v>
      </c>
      <c r="B238" s="5" t="s">
        <v>2424</v>
      </c>
      <c r="C238" s="5" t="s">
        <v>2428</v>
      </c>
      <c r="D238" s="5">
        <v>1</v>
      </c>
      <c r="E238" s="9" t="s">
        <v>2543</v>
      </c>
    </row>
    <row r="239" spans="1:5" x14ac:dyDescent="0.35">
      <c r="A239" s="4" t="s">
        <v>130</v>
      </c>
      <c r="B239" s="5" t="s">
        <v>2423</v>
      </c>
      <c r="C239" s="5" t="s">
        <v>2427</v>
      </c>
      <c r="D239" s="5">
        <v>3</v>
      </c>
      <c r="E239" s="9" t="s">
        <v>2545</v>
      </c>
    </row>
    <row r="240" spans="1:5" x14ac:dyDescent="0.35">
      <c r="A240" s="4" t="s">
        <v>93</v>
      </c>
      <c r="B240" s="5" t="s">
        <v>2426</v>
      </c>
      <c r="C240" s="5" t="s">
        <v>2425</v>
      </c>
      <c r="D240" s="5">
        <v>1</v>
      </c>
      <c r="E240" s="9" t="s">
        <v>2543</v>
      </c>
    </row>
    <row r="241" spans="1:5" x14ac:dyDescent="0.35">
      <c r="A241" s="4" t="s">
        <v>351</v>
      </c>
      <c r="B241" s="5" t="s">
        <v>2424</v>
      </c>
      <c r="C241" s="5" t="s">
        <v>2430</v>
      </c>
      <c r="D241" s="5">
        <v>1</v>
      </c>
      <c r="E241" s="9" t="s">
        <v>2543</v>
      </c>
    </row>
    <row r="242" spans="1:5" x14ac:dyDescent="0.35">
      <c r="A242" s="4" t="s">
        <v>326</v>
      </c>
      <c r="B242" s="5" t="s">
        <v>2423</v>
      </c>
      <c r="C242" s="5" t="s">
        <v>2430</v>
      </c>
      <c r="D242" s="5">
        <v>5</v>
      </c>
      <c r="E242" s="9" t="s">
        <v>2544</v>
      </c>
    </row>
    <row r="243" spans="1:5" x14ac:dyDescent="0.35">
      <c r="A243" s="4" t="s">
        <v>299</v>
      </c>
      <c r="B243" s="5" t="s">
        <v>2426</v>
      </c>
      <c r="C243" s="5" t="s">
        <v>2425</v>
      </c>
      <c r="D243" s="5">
        <v>4</v>
      </c>
      <c r="E243" s="9" t="s">
        <v>2542</v>
      </c>
    </row>
    <row r="244" spans="1:5" x14ac:dyDescent="0.35">
      <c r="A244" s="4" t="s">
        <v>535</v>
      </c>
      <c r="B244" s="5" t="s">
        <v>2426</v>
      </c>
      <c r="C244" s="5" t="s">
        <v>2428</v>
      </c>
      <c r="D244" s="5">
        <v>5</v>
      </c>
      <c r="E244" s="9" t="s">
        <v>2544</v>
      </c>
    </row>
    <row r="245" spans="1:5" x14ac:dyDescent="0.35">
      <c r="A245" s="4" t="s">
        <v>422</v>
      </c>
      <c r="B245" s="5" t="s">
        <v>2423</v>
      </c>
      <c r="C245" s="5" t="s">
        <v>2425</v>
      </c>
      <c r="D245" s="5">
        <v>4</v>
      </c>
      <c r="E245" s="9" t="s">
        <v>2542</v>
      </c>
    </row>
    <row r="246" spans="1:5" x14ac:dyDescent="0.35">
      <c r="A246" s="4" t="s">
        <v>655</v>
      </c>
      <c r="B246" s="5" t="s">
        <v>2426</v>
      </c>
      <c r="C246" s="5" t="s">
        <v>2430</v>
      </c>
      <c r="D246" s="5">
        <v>3</v>
      </c>
      <c r="E246" s="9" t="s">
        <v>2545</v>
      </c>
    </row>
    <row r="247" spans="1:5" x14ac:dyDescent="0.35">
      <c r="A247" s="4" t="s">
        <v>599</v>
      </c>
      <c r="B247" s="5" t="s">
        <v>2424</v>
      </c>
      <c r="C247" s="5" t="s">
        <v>2430</v>
      </c>
      <c r="D247" s="5">
        <v>1</v>
      </c>
      <c r="E247" s="9" t="s">
        <v>2543</v>
      </c>
    </row>
    <row r="248" spans="1:5" x14ac:dyDescent="0.35">
      <c r="A248" s="4" t="s">
        <v>498</v>
      </c>
      <c r="B248" s="5" t="s">
        <v>2423</v>
      </c>
      <c r="C248" s="5" t="s">
        <v>2428</v>
      </c>
      <c r="D248" s="5">
        <v>3</v>
      </c>
      <c r="E248" s="9" t="s">
        <v>2545</v>
      </c>
    </row>
    <row r="249" spans="1:5" x14ac:dyDescent="0.35">
      <c r="A249" s="4" t="s">
        <v>588</v>
      </c>
      <c r="B249" s="5" t="s">
        <v>2426</v>
      </c>
      <c r="C249" s="5" t="s">
        <v>2430</v>
      </c>
      <c r="D249" s="5">
        <v>5</v>
      </c>
      <c r="E249" s="9" t="s">
        <v>2544</v>
      </c>
    </row>
    <row r="250" spans="1:5" x14ac:dyDescent="0.35">
      <c r="A250" s="4" t="s">
        <v>295</v>
      </c>
      <c r="B250" s="5" t="s">
        <v>2426</v>
      </c>
      <c r="C250" s="5" t="s">
        <v>2429</v>
      </c>
      <c r="D250" s="5">
        <v>1</v>
      </c>
      <c r="E250" s="9" t="s">
        <v>2543</v>
      </c>
    </row>
    <row r="251" spans="1:5" x14ac:dyDescent="0.35">
      <c r="A251" s="4" t="s">
        <v>687</v>
      </c>
      <c r="B251" s="5" t="s">
        <v>2426</v>
      </c>
      <c r="C251" s="5" t="s">
        <v>2427</v>
      </c>
      <c r="D251" s="5">
        <v>3</v>
      </c>
      <c r="E251" s="9" t="s">
        <v>2545</v>
      </c>
    </row>
    <row r="252" spans="1:5" x14ac:dyDescent="0.35">
      <c r="A252" s="4" t="s">
        <v>245</v>
      </c>
      <c r="B252" s="5" t="s">
        <v>2426</v>
      </c>
      <c r="C252" s="5" t="s">
        <v>2430</v>
      </c>
      <c r="D252" s="5">
        <v>5</v>
      </c>
      <c r="E252" s="9" t="s">
        <v>2544</v>
      </c>
    </row>
    <row r="253" spans="1:5" x14ac:dyDescent="0.35">
      <c r="A253" s="4" t="s">
        <v>112</v>
      </c>
      <c r="B253" s="5" t="s">
        <v>2423</v>
      </c>
      <c r="C253" s="5" t="s">
        <v>2428</v>
      </c>
      <c r="D253" s="5">
        <v>1</v>
      </c>
      <c r="E253" s="9" t="s">
        <v>2543</v>
      </c>
    </row>
    <row r="254" spans="1:5" x14ac:dyDescent="0.35">
      <c r="A254" s="4" t="s">
        <v>420</v>
      </c>
      <c r="B254" s="5" t="s">
        <v>2423</v>
      </c>
      <c r="C254" s="5" t="s">
        <v>2428</v>
      </c>
      <c r="D254" s="5">
        <v>5</v>
      </c>
      <c r="E254" s="9" t="s">
        <v>2544</v>
      </c>
    </row>
    <row r="255" spans="1:5" x14ac:dyDescent="0.35">
      <c r="A255" s="4" t="s">
        <v>528</v>
      </c>
      <c r="B255" s="5" t="s">
        <v>2426</v>
      </c>
      <c r="C255" s="5" t="s">
        <v>2425</v>
      </c>
      <c r="D255" s="5">
        <v>5</v>
      </c>
      <c r="E255" s="9" t="s">
        <v>2544</v>
      </c>
    </row>
    <row r="256" spans="1:5" x14ac:dyDescent="0.35">
      <c r="A256" s="4" t="s">
        <v>704</v>
      </c>
      <c r="B256" s="5" t="s">
        <v>2424</v>
      </c>
      <c r="C256" s="5" t="s">
        <v>2428</v>
      </c>
      <c r="D256" s="5">
        <v>3</v>
      </c>
      <c r="E256" s="9" t="s">
        <v>2545</v>
      </c>
    </row>
    <row r="257" spans="1:5" x14ac:dyDescent="0.35">
      <c r="A257" s="4" t="s">
        <v>270</v>
      </c>
      <c r="B257" s="5" t="s">
        <v>2424</v>
      </c>
      <c r="C257" s="5" t="s">
        <v>2427</v>
      </c>
      <c r="D257" s="5">
        <v>1</v>
      </c>
      <c r="E257" s="9" t="s">
        <v>2543</v>
      </c>
    </row>
    <row r="258" spans="1:5" x14ac:dyDescent="0.35">
      <c r="A258" s="4" t="s">
        <v>548</v>
      </c>
      <c r="B258" s="5" t="s">
        <v>2426</v>
      </c>
      <c r="C258" s="5" t="s">
        <v>2430</v>
      </c>
      <c r="D258" s="5">
        <v>2</v>
      </c>
      <c r="E258" s="9" t="s">
        <v>2546</v>
      </c>
    </row>
    <row r="259" spans="1:5" x14ac:dyDescent="0.35">
      <c r="A259" s="4" t="s">
        <v>1565</v>
      </c>
      <c r="B259" s="5" t="s">
        <v>2423</v>
      </c>
      <c r="C259" s="5" t="s">
        <v>2429</v>
      </c>
      <c r="D259" s="5">
        <v>5</v>
      </c>
      <c r="E259" s="9" t="s">
        <v>2544</v>
      </c>
    </row>
    <row r="260" spans="1:5" x14ac:dyDescent="0.35">
      <c r="A260" s="4" t="s">
        <v>182</v>
      </c>
      <c r="B260" s="5" t="s">
        <v>2423</v>
      </c>
      <c r="C260" s="5" t="s">
        <v>2425</v>
      </c>
      <c r="D260" s="5">
        <v>2</v>
      </c>
      <c r="E260" s="9" t="s">
        <v>2546</v>
      </c>
    </row>
    <row r="261" spans="1:5" x14ac:dyDescent="0.35">
      <c r="A261" s="4" t="s">
        <v>804</v>
      </c>
      <c r="B261" s="5" t="s">
        <v>2426</v>
      </c>
      <c r="C261" s="5" t="s">
        <v>2430</v>
      </c>
      <c r="D261" s="5">
        <v>3</v>
      </c>
      <c r="E261" s="9" t="s">
        <v>2545</v>
      </c>
    </row>
    <row r="262" spans="1:5" x14ac:dyDescent="0.35">
      <c r="A262" s="4" t="s">
        <v>290</v>
      </c>
      <c r="B262" s="5" t="s">
        <v>2423</v>
      </c>
      <c r="C262" s="5" t="s">
        <v>2430</v>
      </c>
      <c r="D262" s="5">
        <v>3</v>
      </c>
      <c r="E262" s="9" t="s">
        <v>2545</v>
      </c>
    </row>
    <row r="263" spans="1:5" x14ac:dyDescent="0.35">
      <c r="A263" s="4" t="s">
        <v>789</v>
      </c>
      <c r="B263" s="5" t="s">
        <v>2426</v>
      </c>
      <c r="C263" s="5" t="s">
        <v>2427</v>
      </c>
      <c r="D263" s="5">
        <v>2</v>
      </c>
      <c r="E263" s="9" t="s">
        <v>2546</v>
      </c>
    </row>
    <row r="264" spans="1:5" x14ac:dyDescent="0.35">
      <c r="A264" s="4" t="s">
        <v>469</v>
      </c>
      <c r="B264" s="5" t="s">
        <v>2426</v>
      </c>
      <c r="C264" s="5" t="s">
        <v>2429</v>
      </c>
      <c r="D264" s="5">
        <v>1</v>
      </c>
      <c r="E264" s="9" t="s">
        <v>2543</v>
      </c>
    </row>
    <row r="265" spans="1:5" x14ac:dyDescent="0.35">
      <c r="A265" s="4" t="s">
        <v>1355</v>
      </c>
      <c r="B265" s="5" t="s">
        <v>2424</v>
      </c>
      <c r="C265" s="5" t="s">
        <v>2430</v>
      </c>
      <c r="D265" s="5">
        <v>5</v>
      </c>
      <c r="E265" s="9" t="s">
        <v>2544</v>
      </c>
    </row>
    <row r="266" spans="1:5" x14ac:dyDescent="0.35">
      <c r="A266" s="4" t="s">
        <v>796</v>
      </c>
      <c r="B266" s="5" t="s">
        <v>2423</v>
      </c>
      <c r="C266" s="5" t="s">
        <v>2428</v>
      </c>
      <c r="D266" s="5">
        <v>3</v>
      </c>
      <c r="E266" s="9" t="s">
        <v>2545</v>
      </c>
    </row>
    <row r="267" spans="1:5" x14ac:dyDescent="0.35">
      <c r="A267" s="4" t="s">
        <v>876</v>
      </c>
      <c r="B267" s="5" t="s">
        <v>2423</v>
      </c>
      <c r="C267" s="5" t="s">
        <v>2430</v>
      </c>
      <c r="D267" s="5">
        <v>2</v>
      </c>
      <c r="E267" s="9" t="s">
        <v>2546</v>
      </c>
    </row>
    <row r="268" spans="1:5" x14ac:dyDescent="0.35">
      <c r="A268" s="4" t="s">
        <v>333</v>
      </c>
      <c r="B268" s="5" t="s">
        <v>2423</v>
      </c>
      <c r="C268" s="5" t="s">
        <v>2430</v>
      </c>
      <c r="D268" s="5">
        <v>4</v>
      </c>
      <c r="E268" s="9" t="s">
        <v>2542</v>
      </c>
    </row>
    <row r="269" spans="1:5" x14ac:dyDescent="0.35">
      <c r="A269" s="4" t="s">
        <v>391</v>
      </c>
      <c r="B269" s="5" t="s">
        <v>2424</v>
      </c>
      <c r="C269" s="5" t="s">
        <v>2429</v>
      </c>
      <c r="D269" s="5">
        <v>3</v>
      </c>
      <c r="E269" s="9" t="s">
        <v>2545</v>
      </c>
    </row>
    <row r="270" spans="1:5" x14ac:dyDescent="0.35">
      <c r="A270" s="4" t="s">
        <v>258</v>
      </c>
      <c r="B270" s="5" t="s">
        <v>2426</v>
      </c>
      <c r="C270" s="5" t="s">
        <v>2428</v>
      </c>
      <c r="D270" s="5">
        <v>2</v>
      </c>
      <c r="E270" s="9" t="s">
        <v>2546</v>
      </c>
    </row>
    <row r="271" spans="1:5" x14ac:dyDescent="0.35">
      <c r="A271" s="4" t="s">
        <v>568</v>
      </c>
      <c r="B271" s="5" t="s">
        <v>2424</v>
      </c>
      <c r="C271" s="5" t="s">
        <v>2430</v>
      </c>
      <c r="D271" s="5">
        <v>1</v>
      </c>
      <c r="E271" s="9" t="s">
        <v>2543</v>
      </c>
    </row>
    <row r="272" spans="1:5" x14ac:dyDescent="0.35">
      <c r="A272" s="4" t="s">
        <v>349</v>
      </c>
      <c r="B272" s="5" t="s">
        <v>2423</v>
      </c>
      <c r="C272" s="5" t="s">
        <v>2425</v>
      </c>
      <c r="D272" s="5">
        <v>5</v>
      </c>
      <c r="E272" s="9" t="s">
        <v>2544</v>
      </c>
    </row>
    <row r="273" spans="1:5" x14ac:dyDescent="0.35">
      <c r="A273" s="4" t="s">
        <v>607</v>
      </c>
      <c r="B273" s="5" t="s">
        <v>2423</v>
      </c>
      <c r="C273" s="5" t="s">
        <v>2430</v>
      </c>
      <c r="D273" s="5">
        <v>4</v>
      </c>
      <c r="E273" s="9" t="s">
        <v>2542</v>
      </c>
    </row>
    <row r="274" spans="1:5" x14ac:dyDescent="0.35">
      <c r="A274" s="4" t="s">
        <v>822</v>
      </c>
      <c r="B274" s="5" t="s">
        <v>2423</v>
      </c>
      <c r="C274" s="5" t="s">
        <v>2427</v>
      </c>
      <c r="D274" s="5">
        <v>2</v>
      </c>
      <c r="E274" s="9" t="s">
        <v>2546</v>
      </c>
    </row>
    <row r="275" spans="1:5" x14ac:dyDescent="0.35">
      <c r="A275" s="4" t="s">
        <v>134</v>
      </c>
      <c r="B275" s="5" t="s">
        <v>2426</v>
      </c>
      <c r="C275" s="5" t="s">
        <v>2430</v>
      </c>
      <c r="D275" s="5">
        <v>5</v>
      </c>
      <c r="E275" s="9" t="s">
        <v>2544</v>
      </c>
    </row>
    <row r="276" spans="1:5" x14ac:dyDescent="0.35">
      <c r="A276" s="4" t="s">
        <v>23</v>
      </c>
      <c r="B276" s="5" t="s">
        <v>2424</v>
      </c>
      <c r="C276" s="5" t="s">
        <v>2427</v>
      </c>
      <c r="D276" s="5">
        <v>4</v>
      </c>
      <c r="E276" s="9" t="s">
        <v>2542</v>
      </c>
    </row>
    <row r="277" spans="1:5" x14ac:dyDescent="0.35">
      <c r="A277" s="4" t="s">
        <v>721</v>
      </c>
      <c r="B277" s="5" t="s">
        <v>2424</v>
      </c>
      <c r="C277" s="5" t="s">
        <v>2429</v>
      </c>
      <c r="D277" s="5">
        <v>3</v>
      </c>
      <c r="E277" s="9" t="s">
        <v>2545</v>
      </c>
    </row>
    <row r="278" spans="1:5" x14ac:dyDescent="0.35">
      <c r="A278" s="4" t="s">
        <v>505</v>
      </c>
      <c r="B278" s="5" t="s">
        <v>2424</v>
      </c>
      <c r="C278" s="5" t="s">
        <v>2427</v>
      </c>
      <c r="D278" s="5">
        <v>1</v>
      </c>
      <c r="E278" s="9" t="s">
        <v>2543</v>
      </c>
    </row>
    <row r="279" spans="1:5" x14ac:dyDescent="0.35">
      <c r="A279" s="4" t="s">
        <v>1382</v>
      </c>
      <c r="B279" s="5" t="s">
        <v>2426</v>
      </c>
      <c r="C279" s="5" t="s">
        <v>2429</v>
      </c>
      <c r="D279" s="5">
        <v>4</v>
      </c>
      <c r="E279" s="9" t="s">
        <v>2542</v>
      </c>
    </row>
    <row r="280" spans="1:5" x14ac:dyDescent="0.35">
      <c r="A280" s="4" t="s">
        <v>928</v>
      </c>
      <c r="B280" s="5" t="s">
        <v>2426</v>
      </c>
      <c r="C280" s="5" t="s">
        <v>2429</v>
      </c>
      <c r="D280" s="5">
        <v>4</v>
      </c>
      <c r="E280" s="9" t="s">
        <v>2542</v>
      </c>
    </row>
    <row r="281" spans="1:5" x14ac:dyDescent="0.35">
      <c r="A281" s="4" t="s">
        <v>559</v>
      </c>
      <c r="B281" s="5" t="s">
        <v>2423</v>
      </c>
      <c r="C281" s="5" t="s">
        <v>2427</v>
      </c>
      <c r="D281" s="5">
        <v>2</v>
      </c>
      <c r="E281" s="9" t="s">
        <v>2546</v>
      </c>
    </row>
    <row r="282" spans="1:5" x14ac:dyDescent="0.35">
      <c r="A282" s="4" t="s">
        <v>151</v>
      </c>
      <c r="B282" s="5" t="s">
        <v>2424</v>
      </c>
      <c r="C282" s="5" t="s">
        <v>2427</v>
      </c>
      <c r="D282" s="5">
        <v>5</v>
      </c>
      <c r="E282" s="9" t="s">
        <v>2544</v>
      </c>
    </row>
    <row r="283" spans="1:5" x14ac:dyDescent="0.35">
      <c r="A283" s="4" t="s">
        <v>474</v>
      </c>
      <c r="B283" s="5" t="s">
        <v>2426</v>
      </c>
      <c r="C283" s="5" t="s">
        <v>2427</v>
      </c>
      <c r="D283" s="5">
        <v>1</v>
      </c>
      <c r="E283" s="9" t="s">
        <v>2543</v>
      </c>
    </row>
    <row r="284" spans="1:5" x14ac:dyDescent="0.35">
      <c r="A284" s="4" t="s">
        <v>222</v>
      </c>
      <c r="B284" s="5" t="s">
        <v>2424</v>
      </c>
      <c r="C284" s="5" t="s">
        <v>2430</v>
      </c>
      <c r="D284" s="5">
        <v>1</v>
      </c>
      <c r="E284" s="9" t="s">
        <v>2543</v>
      </c>
    </row>
    <row r="285" spans="1:5" x14ac:dyDescent="0.35">
      <c r="A285" s="4" t="s">
        <v>356</v>
      </c>
      <c r="B285" s="5" t="s">
        <v>2424</v>
      </c>
      <c r="C285" s="5" t="s">
        <v>2428</v>
      </c>
      <c r="D285" s="5">
        <v>3</v>
      </c>
      <c r="E285" s="9" t="s">
        <v>2545</v>
      </c>
    </row>
    <row r="286" spans="1:5" x14ac:dyDescent="0.35">
      <c r="A286" s="4" t="s">
        <v>1073</v>
      </c>
      <c r="B286" s="5" t="s">
        <v>2424</v>
      </c>
      <c r="C286" s="5" t="s">
        <v>2430</v>
      </c>
      <c r="D286" s="5">
        <v>4</v>
      </c>
      <c r="E286" s="9" t="s">
        <v>2542</v>
      </c>
    </row>
    <row r="287" spans="1:5" x14ac:dyDescent="0.35">
      <c r="A287" s="4" t="s">
        <v>250</v>
      </c>
      <c r="B287" s="5" t="s">
        <v>2423</v>
      </c>
      <c r="C287" s="5" t="s">
        <v>2425</v>
      </c>
      <c r="D287" s="5">
        <v>5</v>
      </c>
      <c r="E287" s="9" t="s">
        <v>2544</v>
      </c>
    </row>
    <row r="288" spans="1:5" x14ac:dyDescent="0.35">
      <c r="A288" s="4" t="s">
        <v>280</v>
      </c>
      <c r="B288" s="5" t="s">
        <v>2423</v>
      </c>
      <c r="C288" s="5" t="s">
        <v>2429</v>
      </c>
      <c r="D288" s="5">
        <v>4</v>
      </c>
      <c r="E288" s="9" t="s">
        <v>2542</v>
      </c>
    </row>
    <row r="289" spans="1:5" x14ac:dyDescent="0.35">
      <c r="A289" s="4" t="s">
        <v>855</v>
      </c>
      <c r="B289" s="5" t="s">
        <v>2426</v>
      </c>
      <c r="C289" s="5" t="s">
        <v>2428</v>
      </c>
      <c r="D289" s="5">
        <v>5</v>
      </c>
      <c r="E289" s="9" t="s">
        <v>2544</v>
      </c>
    </row>
    <row r="290" spans="1:5" x14ac:dyDescent="0.35">
      <c r="A290" s="4" t="s">
        <v>203</v>
      </c>
      <c r="B290" s="5" t="s">
        <v>2424</v>
      </c>
      <c r="C290" s="5" t="s">
        <v>2425</v>
      </c>
      <c r="D290" s="5">
        <v>3</v>
      </c>
      <c r="E290" s="9" t="s">
        <v>2545</v>
      </c>
    </row>
    <row r="291" spans="1:5" x14ac:dyDescent="0.35">
      <c r="A291" s="4" t="s">
        <v>36</v>
      </c>
      <c r="B291" s="5" t="s">
        <v>2426</v>
      </c>
      <c r="C291" s="5" t="s">
        <v>2429</v>
      </c>
      <c r="D291" s="5">
        <v>3</v>
      </c>
      <c r="E291" s="9" t="s">
        <v>2545</v>
      </c>
    </row>
    <row r="292" spans="1:5" x14ac:dyDescent="0.35">
      <c r="A292" s="4" t="s">
        <v>913</v>
      </c>
      <c r="B292" s="5" t="s">
        <v>2426</v>
      </c>
      <c r="C292" s="5" t="s">
        <v>2428</v>
      </c>
      <c r="D292" s="5">
        <v>3</v>
      </c>
      <c r="E292" s="9" t="s">
        <v>2545</v>
      </c>
    </row>
    <row r="293" spans="1:5" x14ac:dyDescent="0.35">
      <c r="A293" s="4" t="s">
        <v>96</v>
      </c>
      <c r="B293" s="5" t="s">
        <v>2426</v>
      </c>
      <c r="C293" s="5" t="s">
        <v>2430</v>
      </c>
      <c r="D293" s="5">
        <v>3</v>
      </c>
      <c r="E293" s="9" t="s">
        <v>2545</v>
      </c>
    </row>
    <row r="294" spans="1:5" x14ac:dyDescent="0.35">
      <c r="A294" s="4" t="s">
        <v>661</v>
      </c>
      <c r="B294" s="5" t="s">
        <v>2426</v>
      </c>
      <c r="C294" s="5" t="s">
        <v>2429</v>
      </c>
      <c r="D294" s="5">
        <v>5</v>
      </c>
      <c r="E294" s="9" t="s">
        <v>2544</v>
      </c>
    </row>
    <row r="295" spans="1:5" x14ac:dyDescent="0.35">
      <c r="A295" s="4" t="s">
        <v>253</v>
      </c>
      <c r="B295" s="5" t="s">
        <v>2424</v>
      </c>
      <c r="C295" s="5" t="s">
        <v>2430</v>
      </c>
      <c r="D295" s="5">
        <v>5</v>
      </c>
      <c r="E295" s="9" t="s">
        <v>2544</v>
      </c>
    </row>
    <row r="296" spans="1:5" x14ac:dyDescent="0.35">
      <c r="A296" s="4" t="s">
        <v>140</v>
      </c>
      <c r="B296" s="5" t="s">
        <v>2423</v>
      </c>
      <c r="C296" s="5" t="s">
        <v>2427</v>
      </c>
      <c r="D296" s="5">
        <v>5</v>
      </c>
      <c r="E296" s="9" t="s">
        <v>2544</v>
      </c>
    </row>
    <row r="297" spans="1:5" x14ac:dyDescent="0.35">
      <c r="A297" s="4" t="s">
        <v>627</v>
      </c>
      <c r="B297" s="5" t="s">
        <v>2426</v>
      </c>
      <c r="C297" s="5" t="s">
        <v>2425</v>
      </c>
      <c r="D297" s="5">
        <v>2</v>
      </c>
      <c r="E297" s="9" t="s">
        <v>2546</v>
      </c>
    </row>
    <row r="298" spans="1:5" x14ac:dyDescent="0.35">
      <c r="A298" s="4" t="s">
        <v>184</v>
      </c>
      <c r="B298" s="5" t="s">
        <v>2423</v>
      </c>
      <c r="C298" s="5" t="s">
        <v>2430</v>
      </c>
      <c r="D298" s="5">
        <v>3</v>
      </c>
      <c r="E298" s="9" t="s">
        <v>2545</v>
      </c>
    </row>
    <row r="299" spans="1:5" x14ac:dyDescent="0.35">
      <c r="A299" s="4" t="s">
        <v>718</v>
      </c>
      <c r="B299" s="5" t="s">
        <v>2424</v>
      </c>
      <c r="C299" s="5" t="s">
        <v>2428</v>
      </c>
      <c r="D299" s="5">
        <v>2</v>
      </c>
      <c r="E299" s="9" t="s">
        <v>2546</v>
      </c>
    </row>
    <row r="300" spans="1:5" x14ac:dyDescent="0.35">
      <c r="A300" s="4" t="s">
        <v>466</v>
      </c>
      <c r="B300" s="5" t="s">
        <v>2426</v>
      </c>
      <c r="C300" s="5" t="s">
        <v>2430</v>
      </c>
      <c r="D300" s="5">
        <v>4</v>
      </c>
      <c r="E300" s="9" t="s">
        <v>2542</v>
      </c>
    </row>
    <row r="301" spans="1:5" x14ac:dyDescent="0.35">
      <c r="A301" s="6" t="s">
        <v>1651</v>
      </c>
      <c r="B301" s="7" t="s">
        <v>2424</v>
      </c>
      <c r="C301" s="7" t="s">
        <v>2429</v>
      </c>
      <c r="D301" s="7">
        <v>2</v>
      </c>
      <c r="E301" s="8" t="s">
        <v>2546</v>
      </c>
    </row>
    <row r="302" spans="1:5" x14ac:dyDescent="0.35">
      <c r="A302" s="10"/>
      <c r="B302" s="3"/>
      <c r="C302" s="3"/>
      <c r="D302" s="3"/>
      <c r="E302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0E29-6DF6-4D23-BBC6-A479C2F55543}">
  <dimension ref="A1:D101"/>
  <sheetViews>
    <sheetView workbookViewId="0">
      <selection activeCell="C9" sqref="C9"/>
    </sheetView>
  </sheetViews>
  <sheetFormatPr defaultRowHeight="14.5" x14ac:dyDescent="0.35"/>
  <cols>
    <col min="1" max="1" width="11.7265625" customWidth="1"/>
    <col min="2" max="2" width="17" bestFit="1" customWidth="1"/>
    <col min="3" max="3" width="20.81640625" bestFit="1" customWidth="1"/>
    <col min="4" max="4" width="14.81640625" customWidth="1"/>
  </cols>
  <sheetData>
    <row r="1" spans="1:4" x14ac:dyDescent="0.35">
      <c r="A1" s="12" t="s">
        <v>4</v>
      </c>
      <c r="B1" s="13" t="s">
        <v>2548</v>
      </c>
      <c r="C1" s="13" t="s">
        <v>2549</v>
      </c>
      <c r="D1" s="16" t="s">
        <v>2432</v>
      </c>
    </row>
    <row r="2" spans="1:4" x14ac:dyDescent="0.35">
      <c r="A2" s="4" t="s">
        <v>231</v>
      </c>
      <c r="B2" s="5" t="s">
        <v>2433</v>
      </c>
      <c r="C2" s="5" t="s">
        <v>2434</v>
      </c>
      <c r="D2" s="9" t="s">
        <v>2435</v>
      </c>
    </row>
    <row r="3" spans="1:4" x14ac:dyDescent="0.35">
      <c r="A3" s="4" t="s">
        <v>13</v>
      </c>
      <c r="B3" s="5" t="s">
        <v>2433</v>
      </c>
      <c r="C3" s="5" t="s">
        <v>2436</v>
      </c>
      <c r="D3" s="9" t="s">
        <v>2437</v>
      </c>
    </row>
    <row r="4" spans="1:4" x14ac:dyDescent="0.35">
      <c r="A4" s="4" t="s">
        <v>376</v>
      </c>
      <c r="B4" s="5" t="s">
        <v>2438</v>
      </c>
      <c r="C4" s="5" t="s">
        <v>2439</v>
      </c>
      <c r="D4" s="9" t="s">
        <v>2440</v>
      </c>
    </row>
    <row r="5" spans="1:4" x14ac:dyDescent="0.35">
      <c r="A5" s="4" t="s">
        <v>42</v>
      </c>
      <c r="B5" s="5" t="s">
        <v>2441</v>
      </c>
      <c r="C5" s="5" t="s">
        <v>2436</v>
      </c>
      <c r="D5" s="9" t="s">
        <v>2442</v>
      </c>
    </row>
    <row r="6" spans="1:4" x14ac:dyDescent="0.35">
      <c r="A6" s="4" t="s">
        <v>359</v>
      </c>
      <c r="B6" s="5" t="s">
        <v>2441</v>
      </c>
      <c r="C6" s="5" t="s">
        <v>2443</v>
      </c>
      <c r="D6" s="9" t="s">
        <v>2444</v>
      </c>
    </row>
    <row r="7" spans="1:4" x14ac:dyDescent="0.35">
      <c r="A7" s="4" t="s">
        <v>169</v>
      </c>
      <c r="B7" s="5" t="s">
        <v>2438</v>
      </c>
      <c r="C7" s="5" t="s">
        <v>2436</v>
      </c>
      <c r="D7" s="9" t="s">
        <v>2445</v>
      </c>
    </row>
    <row r="8" spans="1:4" x14ac:dyDescent="0.35">
      <c r="A8" s="4" t="s">
        <v>57</v>
      </c>
      <c r="B8" s="5" t="s">
        <v>2438</v>
      </c>
      <c r="C8" s="5" t="s">
        <v>2443</v>
      </c>
      <c r="D8" s="9" t="s">
        <v>2446</v>
      </c>
    </row>
    <row r="9" spans="1:4" x14ac:dyDescent="0.35">
      <c r="A9" s="4" t="s">
        <v>152</v>
      </c>
      <c r="B9" s="5" t="s">
        <v>2438</v>
      </c>
      <c r="C9" s="5" t="s">
        <v>2447</v>
      </c>
      <c r="D9" s="9" t="s">
        <v>2448</v>
      </c>
    </row>
    <row r="10" spans="1:4" x14ac:dyDescent="0.35">
      <c r="A10" s="4" t="s">
        <v>91</v>
      </c>
      <c r="B10" s="5" t="s">
        <v>2441</v>
      </c>
      <c r="C10" s="5" t="s">
        <v>2443</v>
      </c>
      <c r="D10" s="9" t="s">
        <v>2449</v>
      </c>
    </row>
    <row r="11" spans="1:4" x14ac:dyDescent="0.35">
      <c r="A11" s="4" t="s">
        <v>185</v>
      </c>
      <c r="B11" s="5" t="s">
        <v>2438</v>
      </c>
      <c r="C11" s="5" t="s">
        <v>2455</v>
      </c>
      <c r="D11" s="9" t="s">
        <v>2450</v>
      </c>
    </row>
    <row r="12" spans="1:4" x14ac:dyDescent="0.35">
      <c r="A12" s="4" t="s">
        <v>329</v>
      </c>
      <c r="B12" s="5" t="s">
        <v>2433</v>
      </c>
      <c r="C12" s="5" t="s">
        <v>2439</v>
      </c>
      <c r="D12" s="9" t="s">
        <v>2451</v>
      </c>
    </row>
    <row r="13" spans="1:4" x14ac:dyDescent="0.35">
      <c r="A13" s="4" t="s">
        <v>46</v>
      </c>
      <c r="B13" s="5" t="s">
        <v>2433</v>
      </c>
      <c r="C13" s="5" t="s">
        <v>2439</v>
      </c>
      <c r="D13" s="9" t="s">
        <v>2452</v>
      </c>
    </row>
    <row r="14" spans="1:4" x14ac:dyDescent="0.35">
      <c r="A14" s="4" t="s">
        <v>310</v>
      </c>
      <c r="B14" s="5" t="s">
        <v>2438</v>
      </c>
      <c r="C14" s="5" t="s">
        <v>2434</v>
      </c>
      <c r="D14" s="9" t="s">
        <v>2453</v>
      </c>
    </row>
    <row r="15" spans="1:4" x14ac:dyDescent="0.35">
      <c r="A15" s="4" t="s">
        <v>229</v>
      </c>
      <c r="B15" s="5" t="s">
        <v>2441</v>
      </c>
      <c r="C15" s="5" t="s">
        <v>2439</v>
      </c>
      <c r="D15" s="9" t="s">
        <v>2454</v>
      </c>
    </row>
    <row r="16" spans="1:4" x14ac:dyDescent="0.35">
      <c r="A16" s="4" t="s">
        <v>166</v>
      </c>
      <c r="B16" s="5" t="s">
        <v>2438</v>
      </c>
      <c r="C16" s="5" t="s">
        <v>2455</v>
      </c>
      <c r="D16" s="9" t="s">
        <v>2456</v>
      </c>
    </row>
    <row r="17" spans="1:4" x14ac:dyDescent="0.35">
      <c r="A17" s="4" t="s">
        <v>408</v>
      </c>
      <c r="B17" s="5" t="s">
        <v>2433</v>
      </c>
      <c r="C17" s="5" t="s">
        <v>2443</v>
      </c>
      <c r="D17" s="9" t="s">
        <v>2457</v>
      </c>
    </row>
    <row r="18" spans="1:4" x14ac:dyDescent="0.35">
      <c r="A18" s="4" t="s">
        <v>163</v>
      </c>
      <c r="B18" s="5" t="s">
        <v>2438</v>
      </c>
      <c r="C18" s="5" t="s">
        <v>2436</v>
      </c>
      <c r="D18" s="9" t="s">
        <v>2458</v>
      </c>
    </row>
    <row r="19" spans="1:4" x14ac:dyDescent="0.35">
      <c r="A19" s="4" t="s">
        <v>441</v>
      </c>
      <c r="B19" s="5" t="s">
        <v>2433</v>
      </c>
      <c r="C19" s="5" t="s">
        <v>2434</v>
      </c>
      <c r="D19" s="9" t="s">
        <v>2459</v>
      </c>
    </row>
    <row r="20" spans="1:4" x14ac:dyDescent="0.35">
      <c r="A20" s="4" t="s">
        <v>194</v>
      </c>
      <c r="B20" s="5" t="s">
        <v>2433</v>
      </c>
      <c r="C20" s="5" t="s">
        <v>2434</v>
      </c>
      <c r="D20" s="9" t="s">
        <v>2460</v>
      </c>
    </row>
    <row r="21" spans="1:4" x14ac:dyDescent="0.35">
      <c r="A21" s="4" t="s">
        <v>254</v>
      </c>
      <c r="B21" s="5" t="s">
        <v>2441</v>
      </c>
      <c r="C21" s="5" t="s">
        <v>2434</v>
      </c>
      <c r="D21" s="9" t="s">
        <v>2461</v>
      </c>
    </row>
    <row r="22" spans="1:4" x14ac:dyDescent="0.35">
      <c r="A22" s="4" t="s">
        <v>105</v>
      </c>
      <c r="B22" s="5" t="s">
        <v>2438</v>
      </c>
      <c r="C22" s="5" t="s">
        <v>2447</v>
      </c>
      <c r="D22" s="9" t="s">
        <v>2462</v>
      </c>
    </row>
    <row r="23" spans="1:4" x14ac:dyDescent="0.35">
      <c r="A23" s="4" t="s">
        <v>62</v>
      </c>
      <c r="B23" s="5" t="s">
        <v>2433</v>
      </c>
      <c r="C23" s="5" t="s">
        <v>2443</v>
      </c>
      <c r="D23" s="9" t="s">
        <v>2463</v>
      </c>
    </row>
    <row r="24" spans="1:4" x14ac:dyDescent="0.35">
      <c r="A24" s="4" t="s">
        <v>207</v>
      </c>
      <c r="B24" s="5" t="s">
        <v>2433</v>
      </c>
      <c r="C24" s="5" t="s">
        <v>2436</v>
      </c>
      <c r="D24" s="9" t="s">
        <v>2464</v>
      </c>
    </row>
    <row r="25" spans="1:4" x14ac:dyDescent="0.35">
      <c r="A25" s="4" t="s">
        <v>357</v>
      </c>
      <c r="B25" s="5" t="s">
        <v>2433</v>
      </c>
      <c r="C25" s="5" t="s">
        <v>2439</v>
      </c>
      <c r="D25" s="9" t="s">
        <v>2465</v>
      </c>
    </row>
    <row r="26" spans="1:4" x14ac:dyDescent="0.35">
      <c r="A26" s="4" t="s">
        <v>214</v>
      </c>
      <c r="B26" s="5" t="s">
        <v>2438</v>
      </c>
      <c r="C26" s="5" t="s">
        <v>2443</v>
      </c>
      <c r="D26" s="9" t="s">
        <v>2466</v>
      </c>
    </row>
    <row r="27" spans="1:4" x14ac:dyDescent="0.35">
      <c r="A27" s="4" t="s">
        <v>341</v>
      </c>
      <c r="B27" s="5" t="s">
        <v>2441</v>
      </c>
      <c r="C27" s="5" t="s">
        <v>2447</v>
      </c>
      <c r="D27" s="9" t="s">
        <v>2467</v>
      </c>
    </row>
    <row r="28" spans="1:4" x14ac:dyDescent="0.35">
      <c r="A28" s="4" t="s">
        <v>1012</v>
      </c>
      <c r="B28" s="5" t="s">
        <v>2433</v>
      </c>
      <c r="C28" s="5" t="s">
        <v>2439</v>
      </c>
      <c r="D28" s="9" t="s">
        <v>2468</v>
      </c>
    </row>
    <row r="29" spans="1:4" x14ac:dyDescent="0.35">
      <c r="A29" s="4" t="s">
        <v>65</v>
      </c>
      <c r="B29" s="5" t="s">
        <v>2438</v>
      </c>
      <c r="C29" s="5" t="s">
        <v>2439</v>
      </c>
      <c r="D29" s="9" t="s">
        <v>2469</v>
      </c>
    </row>
    <row r="30" spans="1:4" x14ac:dyDescent="0.35">
      <c r="A30" s="4" t="s">
        <v>354</v>
      </c>
      <c r="B30" s="5" t="s">
        <v>2438</v>
      </c>
      <c r="C30" s="5" t="s">
        <v>2455</v>
      </c>
      <c r="D30" s="9" t="s">
        <v>2470</v>
      </c>
    </row>
    <row r="31" spans="1:4" x14ac:dyDescent="0.35">
      <c r="A31" s="4" t="s">
        <v>118</v>
      </c>
      <c r="B31" s="5" t="s">
        <v>2438</v>
      </c>
      <c r="C31" s="5" t="s">
        <v>2436</v>
      </c>
      <c r="D31" s="9" t="s">
        <v>2471</v>
      </c>
    </row>
    <row r="32" spans="1:4" x14ac:dyDescent="0.35">
      <c r="A32" s="4" t="s">
        <v>234</v>
      </c>
      <c r="B32" s="5" t="s">
        <v>2438</v>
      </c>
      <c r="C32" s="5" t="s">
        <v>2439</v>
      </c>
      <c r="D32" s="9" t="s">
        <v>2472</v>
      </c>
    </row>
    <row r="33" spans="1:4" x14ac:dyDescent="0.35">
      <c r="A33" s="4" t="s">
        <v>251</v>
      </c>
      <c r="B33" s="5" t="s">
        <v>2441</v>
      </c>
      <c r="C33" s="5" t="s">
        <v>2455</v>
      </c>
      <c r="D33" s="9" t="s">
        <v>2473</v>
      </c>
    </row>
    <row r="34" spans="1:4" x14ac:dyDescent="0.35">
      <c r="A34" s="4" t="s">
        <v>190</v>
      </c>
      <c r="B34" s="5" t="s">
        <v>2441</v>
      </c>
      <c r="C34" s="5" t="s">
        <v>2436</v>
      </c>
      <c r="D34" s="9" t="s">
        <v>2474</v>
      </c>
    </row>
    <row r="35" spans="1:4" x14ac:dyDescent="0.35">
      <c r="A35" s="4" t="s">
        <v>448</v>
      </c>
      <c r="B35" s="5" t="s">
        <v>2433</v>
      </c>
      <c r="C35" s="5" t="s">
        <v>2447</v>
      </c>
      <c r="D35" s="9" t="s">
        <v>2475</v>
      </c>
    </row>
    <row r="36" spans="1:4" x14ac:dyDescent="0.35">
      <c r="A36" s="4" t="s">
        <v>82</v>
      </c>
      <c r="B36" s="5" t="s">
        <v>2438</v>
      </c>
      <c r="C36" s="5" t="s">
        <v>2439</v>
      </c>
      <c r="D36" s="9" t="s">
        <v>2476</v>
      </c>
    </row>
    <row r="37" spans="1:4" x14ac:dyDescent="0.35">
      <c r="A37" s="4" t="s">
        <v>60</v>
      </c>
      <c r="B37" s="5" t="s">
        <v>2441</v>
      </c>
      <c r="C37" s="5" t="s">
        <v>2436</v>
      </c>
      <c r="D37" s="9" t="s">
        <v>2477</v>
      </c>
    </row>
    <row r="38" spans="1:4" x14ac:dyDescent="0.35">
      <c r="A38" s="4" t="s">
        <v>336</v>
      </c>
      <c r="B38" s="5" t="s">
        <v>2438</v>
      </c>
      <c r="C38" s="5" t="s">
        <v>2439</v>
      </c>
      <c r="D38" s="9" t="s">
        <v>2478</v>
      </c>
    </row>
    <row r="39" spans="1:4" x14ac:dyDescent="0.35">
      <c r="A39" s="4" t="s">
        <v>89</v>
      </c>
      <c r="B39" s="5" t="s">
        <v>2438</v>
      </c>
      <c r="C39" s="5" t="s">
        <v>2447</v>
      </c>
      <c r="D39" s="9" t="s">
        <v>2479</v>
      </c>
    </row>
    <row r="40" spans="1:4" x14ac:dyDescent="0.35">
      <c r="A40" s="4" t="s">
        <v>291</v>
      </c>
      <c r="B40" s="5" t="s">
        <v>2441</v>
      </c>
      <c r="C40" s="5" t="s">
        <v>2443</v>
      </c>
      <c r="D40" s="9" t="s">
        <v>2480</v>
      </c>
    </row>
    <row r="41" spans="1:4" x14ac:dyDescent="0.35">
      <c r="A41" s="4" t="s">
        <v>226</v>
      </c>
      <c r="B41" s="5" t="s">
        <v>2441</v>
      </c>
      <c r="C41" s="5" t="s">
        <v>2443</v>
      </c>
      <c r="D41" s="9" t="s">
        <v>2481</v>
      </c>
    </row>
    <row r="42" spans="1:4" x14ac:dyDescent="0.35">
      <c r="A42" s="4" t="s">
        <v>135</v>
      </c>
      <c r="B42" s="5" t="s">
        <v>2441</v>
      </c>
      <c r="C42" s="5" t="s">
        <v>2436</v>
      </c>
      <c r="D42" s="9" t="s">
        <v>2482</v>
      </c>
    </row>
    <row r="43" spans="1:4" x14ac:dyDescent="0.35">
      <c r="A43" s="4" t="s">
        <v>99</v>
      </c>
      <c r="B43" s="5" t="s">
        <v>2438</v>
      </c>
      <c r="C43" s="5" t="s">
        <v>2443</v>
      </c>
      <c r="D43" s="9" t="s">
        <v>2483</v>
      </c>
    </row>
    <row r="44" spans="1:4" x14ac:dyDescent="0.35">
      <c r="A44" s="4" t="s">
        <v>178</v>
      </c>
      <c r="B44" s="5" t="s">
        <v>2433</v>
      </c>
      <c r="C44" s="5" t="s">
        <v>2447</v>
      </c>
      <c r="D44" s="9" t="s">
        <v>2484</v>
      </c>
    </row>
    <row r="45" spans="1:4" x14ac:dyDescent="0.35">
      <c r="A45" s="4" t="s">
        <v>240</v>
      </c>
      <c r="B45" s="5" t="s">
        <v>2438</v>
      </c>
      <c r="C45" s="5" t="s">
        <v>2455</v>
      </c>
      <c r="D45" s="9" t="s">
        <v>2485</v>
      </c>
    </row>
    <row r="46" spans="1:4" x14ac:dyDescent="0.35">
      <c r="A46" s="4" t="s">
        <v>220</v>
      </c>
      <c r="B46" s="5" t="s">
        <v>2438</v>
      </c>
      <c r="C46" s="5" t="s">
        <v>2455</v>
      </c>
      <c r="D46" s="9" t="s">
        <v>2486</v>
      </c>
    </row>
    <row r="47" spans="1:4" x14ac:dyDescent="0.35">
      <c r="A47" s="4" t="s">
        <v>450</v>
      </c>
      <c r="B47" s="5" t="s">
        <v>2438</v>
      </c>
      <c r="C47" s="5" t="s">
        <v>2434</v>
      </c>
      <c r="D47" s="9" t="s">
        <v>2487</v>
      </c>
    </row>
    <row r="48" spans="1:4" x14ac:dyDescent="0.35">
      <c r="A48" s="4" t="s">
        <v>108</v>
      </c>
      <c r="B48" s="5" t="s">
        <v>2433</v>
      </c>
      <c r="C48" s="5" t="s">
        <v>2447</v>
      </c>
      <c r="D48" s="9" t="s">
        <v>2488</v>
      </c>
    </row>
    <row r="49" spans="1:4" x14ac:dyDescent="0.35">
      <c r="A49" s="4" t="s">
        <v>148</v>
      </c>
      <c r="B49" s="5" t="s">
        <v>2433</v>
      </c>
      <c r="C49" s="5" t="s">
        <v>2439</v>
      </c>
      <c r="D49" s="9" t="s">
        <v>2489</v>
      </c>
    </row>
    <row r="50" spans="1:4" x14ac:dyDescent="0.35">
      <c r="A50" s="4" t="s">
        <v>26</v>
      </c>
      <c r="B50" s="5" t="s">
        <v>2438</v>
      </c>
      <c r="C50" s="5" t="s">
        <v>2436</v>
      </c>
      <c r="D50" s="9" t="s">
        <v>2490</v>
      </c>
    </row>
    <row r="51" spans="1:4" x14ac:dyDescent="0.35">
      <c r="A51" s="4" t="s">
        <v>436</v>
      </c>
      <c r="B51" s="5" t="s">
        <v>2438</v>
      </c>
      <c r="C51" s="5" t="s">
        <v>2439</v>
      </c>
      <c r="D51" s="9" t="s">
        <v>2491</v>
      </c>
    </row>
    <row r="52" spans="1:4" x14ac:dyDescent="0.35">
      <c r="A52" s="4" t="s">
        <v>223</v>
      </c>
      <c r="B52" s="5" t="s">
        <v>2438</v>
      </c>
      <c r="C52" s="5" t="s">
        <v>2439</v>
      </c>
      <c r="D52" s="9" t="s">
        <v>2492</v>
      </c>
    </row>
    <row r="53" spans="1:4" x14ac:dyDescent="0.35">
      <c r="A53" s="4" t="s">
        <v>197</v>
      </c>
      <c r="B53" s="5" t="s">
        <v>2438</v>
      </c>
      <c r="C53" s="5" t="s">
        <v>2455</v>
      </c>
      <c r="D53" s="9" t="s">
        <v>2493</v>
      </c>
    </row>
    <row r="54" spans="1:4" x14ac:dyDescent="0.35">
      <c r="A54" s="4" t="s">
        <v>31</v>
      </c>
      <c r="B54" s="5" t="s">
        <v>2433</v>
      </c>
      <c r="C54" s="5" t="s">
        <v>2443</v>
      </c>
      <c r="D54" s="9" t="s">
        <v>2494</v>
      </c>
    </row>
    <row r="55" spans="1:4" x14ac:dyDescent="0.35">
      <c r="A55" s="4" t="s">
        <v>293</v>
      </c>
      <c r="B55" s="5" t="s">
        <v>2441</v>
      </c>
      <c r="C55" s="5" t="s">
        <v>2434</v>
      </c>
      <c r="D55" s="9" t="s">
        <v>2495</v>
      </c>
    </row>
    <row r="56" spans="1:4" x14ac:dyDescent="0.35">
      <c r="A56" s="4" t="s">
        <v>285</v>
      </c>
      <c r="B56" s="5" t="s">
        <v>2433</v>
      </c>
      <c r="C56" s="5" t="s">
        <v>2436</v>
      </c>
      <c r="D56" s="9" t="s">
        <v>2496</v>
      </c>
    </row>
    <row r="57" spans="1:4" x14ac:dyDescent="0.35">
      <c r="A57" s="4" t="s">
        <v>113</v>
      </c>
      <c r="B57" s="5" t="s">
        <v>2433</v>
      </c>
      <c r="C57" s="5" t="s">
        <v>2447</v>
      </c>
      <c r="D57" s="9" t="s">
        <v>2497</v>
      </c>
    </row>
    <row r="58" spans="1:4" x14ac:dyDescent="0.35">
      <c r="A58" s="4" t="s">
        <v>911</v>
      </c>
      <c r="B58" s="5" t="s">
        <v>2438</v>
      </c>
      <c r="C58" s="5" t="s">
        <v>2455</v>
      </c>
      <c r="D58" s="9" t="s">
        <v>2498</v>
      </c>
    </row>
    <row r="59" spans="1:4" x14ac:dyDescent="0.35">
      <c r="A59" s="4" t="s">
        <v>246</v>
      </c>
      <c r="B59" s="5" t="s">
        <v>2441</v>
      </c>
      <c r="C59" s="5" t="s">
        <v>2434</v>
      </c>
      <c r="D59" s="9" t="s">
        <v>2499</v>
      </c>
    </row>
    <row r="60" spans="1:4" x14ac:dyDescent="0.35">
      <c r="A60" s="4" t="s">
        <v>388</v>
      </c>
      <c r="B60" s="5" t="s">
        <v>2438</v>
      </c>
      <c r="C60" s="5" t="s">
        <v>2434</v>
      </c>
      <c r="D60" s="9" t="s">
        <v>2500</v>
      </c>
    </row>
    <row r="61" spans="1:4" x14ac:dyDescent="0.35">
      <c r="A61" s="4" t="s">
        <v>128</v>
      </c>
      <c r="B61" s="5" t="s">
        <v>2441</v>
      </c>
      <c r="C61" s="5" t="s">
        <v>2434</v>
      </c>
      <c r="D61" s="9" t="s">
        <v>2501</v>
      </c>
    </row>
    <row r="62" spans="1:4" x14ac:dyDescent="0.35">
      <c r="A62" s="4" t="s">
        <v>662</v>
      </c>
      <c r="B62" s="5" t="s">
        <v>2441</v>
      </c>
      <c r="C62" s="5" t="s">
        <v>2455</v>
      </c>
      <c r="D62" s="9" t="s">
        <v>2502</v>
      </c>
    </row>
    <row r="63" spans="1:4" x14ac:dyDescent="0.35">
      <c r="A63" s="4" t="s">
        <v>458</v>
      </c>
      <c r="B63" s="5" t="s">
        <v>2433</v>
      </c>
      <c r="C63" s="5" t="s">
        <v>2455</v>
      </c>
      <c r="D63" s="9" t="s">
        <v>2503</v>
      </c>
    </row>
    <row r="64" spans="1:4" x14ac:dyDescent="0.35">
      <c r="A64" s="4" t="s">
        <v>318</v>
      </c>
      <c r="B64" s="5" t="s">
        <v>2441</v>
      </c>
      <c r="C64" s="5" t="s">
        <v>2439</v>
      </c>
      <c r="D64" s="9" t="s">
        <v>2504</v>
      </c>
    </row>
    <row r="65" spans="1:4" x14ac:dyDescent="0.35">
      <c r="A65" s="4" t="s">
        <v>160</v>
      </c>
      <c r="B65" s="5" t="s">
        <v>2441</v>
      </c>
      <c r="C65" s="5" t="s">
        <v>2434</v>
      </c>
      <c r="D65" s="9" t="s">
        <v>2505</v>
      </c>
    </row>
    <row r="66" spans="1:4" x14ac:dyDescent="0.35">
      <c r="A66" s="4" t="s">
        <v>565</v>
      </c>
      <c r="B66" s="5" t="s">
        <v>2438</v>
      </c>
      <c r="C66" s="5" t="s">
        <v>2443</v>
      </c>
      <c r="D66" s="9" t="s">
        <v>2506</v>
      </c>
    </row>
    <row r="67" spans="1:4" x14ac:dyDescent="0.35">
      <c r="A67" s="4" t="s">
        <v>94</v>
      </c>
      <c r="B67" s="5" t="s">
        <v>2441</v>
      </c>
      <c r="C67" s="5" t="s">
        <v>2443</v>
      </c>
      <c r="D67" s="9" t="s">
        <v>2507</v>
      </c>
    </row>
    <row r="68" spans="1:4" x14ac:dyDescent="0.35">
      <c r="A68" s="4" t="s">
        <v>443</v>
      </c>
      <c r="B68" s="5" t="s">
        <v>2438</v>
      </c>
      <c r="C68" s="5" t="s">
        <v>2455</v>
      </c>
      <c r="D68" s="9" t="s">
        <v>2508</v>
      </c>
    </row>
    <row r="69" spans="1:4" x14ac:dyDescent="0.35">
      <c r="A69" s="4" t="s">
        <v>68</v>
      </c>
      <c r="B69" s="5" t="s">
        <v>2438</v>
      </c>
      <c r="C69" s="5" t="s">
        <v>2436</v>
      </c>
      <c r="D69" s="9" t="s">
        <v>2509</v>
      </c>
    </row>
    <row r="70" spans="1:4" x14ac:dyDescent="0.35">
      <c r="A70" s="4" t="s">
        <v>624</v>
      </c>
      <c r="B70" s="5" t="s">
        <v>2433</v>
      </c>
      <c r="C70" s="5" t="s">
        <v>2434</v>
      </c>
      <c r="D70" s="9" t="s">
        <v>2510</v>
      </c>
    </row>
    <row r="71" spans="1:4" x14ac:dyDescent="0.35">
      <c r="A71" s="4" t="s">
        <v>180</v>
      </c>
      <c r="B71" s="5" t="s">
        <v>2441</v>
      </c>
      <c r="C71" s="5" t="s">
        <v>2455</v>
      </c>
      <c r="D71" s="9" t="s">
        <v>2511</v>
      </c>
    </row>
    <row r="72" spans="1:4" x14ac:dyDescent="0.35">
      <c r="A72" s="4" t="s">
        <v>217</v>
      </c>
      <c r="B72" s="5" t="s">
        <v>2433</v>
      </c>
      <c r="C72" s="5" t="s">
        <v>2434</v>
      </c>
      <c r="D72" s="9" t="s">
        <v>2512</v>
      </c>
    </row>
    <row r="73" spans="1:4" x14ac:dyDescent="0.35">
      <c r="A73" s="4" t="s">
        <v>146</v>
      </c>
      <c r="B73" s="5" t="s">
        <v>2441</v>
      </c>
      <c r="C73" s="5" t="s">
        <v>2436</v>
      </c>
      <c r="D73" s="9" t="s">
        <v>2513</v>
      </c>
    </row>
    <row r="74" spans="1:4" x14ac:dyDescent="0.35">
      <c r="A74" s="4" t="s">
        <v>726</v>
      </c>
      <c r="B74" s="5" t="s">
        <v>2433</v>
      </c>
      <c r="C74" s="5" t="s">
        <v>2439</v>
      </c>
      <c r="D74" s="9" t="s">
        <v>2514</v>
      </c>
    </row>
    <row r="75" spans="1:4" x14ac:dyDescent="0.35">
      <c r="A75" s="4" t="s">
        <v>262</v>
      </c>
      <c r="B75" s="5" t="s">
        <v>2441</v>
      </c>
      <c r="C75" s="5" t="s">
        <v>2447</v>
      </c>
      <c r="D75" s="9" t="s">
        <v>2515</v>
      </c>
    </row>
    <row r="76" spans="1:4" x14ac:dyDescent="0.35">
      <c r="A76" s="4" t="s">
        <v>102</v>
      </c>
      <c r="B76" s="5" t="s">
        <v>2438</v>
      </c>
      <c r="C76" s="5" t="s">
        <v>2455</v>
      </c>
      <c r="D76" s="9" t="s">
        <v>2516</v>
      </c>
    </row>
    <row r="77" spans="1:4" x14ac:dyDescent="0.35">
      <c r="A77" s="4" t="s">
        <v>487</v>
      </c>
      <c r="B77" s="5" t="s">
        <v>2441</v>
      </c>
      <c r="C77" s="5" t="s">
        <v>2443</v>
      </c>
      <c r="D77" s="9" t="s">
        <v>2517</v>
      </c>
    </row>
    <row r="78" spans="1:4" x14ac:dyDescent="0.35">
      <c r="A78" s="4" t="s">
        <v>73</v>
      </c>
      <c r="B78" s="5" t="s">
        <v>2441</v>
      </c>
      <c r="C78" s="5" t="s">
        <v>2439</v>
      </c>
      <c r="D78" s="9" t="s">
        <v>2518</v>
      </c>
    </row>
    <row r="79" spans="1:4" x14ac:dyDescent="0.35">
      <c r="A79" s="4" t="s">
        <v>696</v>
      </c>
      <c r="B79" s="5" t="s">
        <v>2433</v>
      </c>
      <c r="C79" s="5" t="s">
        <v>2439</v>
      </c>
      <c r="D79" s="9" t="s">
        <v>2519</v>
      </c>
    </row>
    <row r="80" spans="1:4" x14ac:dyDescent="0.35">
      <c r="A80" s="4" t="s">
        <v>384</v>
      </c>
      <c r="B80" s="5" t="s">
        <v>2433</v>
      </c>
      <c r="C80" s="5" t="s">
        <v>2434</v>
      </c>
      <c r="D80" s="9" t="s">
        <v>2520</v>
      </c>
    </row>
    <row r="81" spans="1:4" x14ac:dyDescent="0.35">
      <c r="A81" s="4" t="s">
        <v>34</v>
      </c>
      <c r="B81" s="5" t="s">
        <v>2438</v>
      </c>
      <c r="C81" s="5" t="s">
        <v>2434</v>
      </c>
      <c r="D81" s="9" t="s">
        <v>2521</v>
      </c>
    </row>
    <row r="82" spans="1:4" x14ac:dyDescent="0.35">
      <c r="A82" s="4" t="s">
        <v>820</v>
      </c>
      <c r="B82" s="5" t="s">
        <v>2441</v>
      </c>
      <c r="C82" s="5" t="s">
        <v>2436</v>
      </c>
      <c r="D82" s="9" t="s">
        <v>2522</v>
      </c>
    </row>
    <row r="83" spans="1:4" x14ac:dyDescent="0.35">
      <c r="A83" s="4" t="s">
        <v>265</v>
      </c>
      <c r="B83" s="5" t="s">
        <v>2441</v>
      </c>
      <c r="C83" s="5" t="s">
        <v>2447</v>
      </c>
      <c r="D83" s="9" t="s">
        <v>2523</v>
      </c>
    </row>
    <row r="84" spans="1:4" x14ac:dyDescent="0.35">
      <c r="A84" s="4" t="s">
        <v>211</v>
      </c>
      <c r="B84" s="5" t="s">
        <v>2441</v>
      </c>
      <c r="C84" s="5" t="s">
        <v>2443</v>
      </c>
      <c r="D84" s="9" t="s">
        <v>2524</v>
      </c>
    </row>
    <row r="85" spans="1:4" x14ac:dyDescent="0.35">
      <c r="A85" s="4" t="s">
        <v>143</v>
      </c>
      <c r="B85" s="5" t="s">
        <v>2438</v>
      </c>
      <c r="C85" s="5" t="s">
        <v>2436</v>
      </c>
      <c r="D85" s="9" t="s">
        <v>2525</v>
      </c>
    </row>
    <row r="86" spans="1:4" x14ac:dyDescent="0.35">
      <c r="A86" s="4" t="s">
        <v>77</v>
      </c>
      <c r="B86" s="5" t="s">
        <v>2441</v>
      </c>
      <c r="C86" s="5" t="s">
        <v>2443</v>
      </c>
      <c r="D86" s="9" t="s">
        <v>2526</v>
      </c>
    </row>
    <row r="87" spans="1:4" x14ac:dyDescent="0.35">
      <c r="A87" s="4" t="s">
        <v>278</v>
      </c>
      <c r="B87" s="5" t="s">
        <v>2441</v>
      </c>
      <c r="C87" s="5" t="s">
        <v>2447</v>
      </c>
      <c r="D87" s="9" t="s">
        <v>2527</v>
      </c>
    </row>
    <row r="88" spans="1:4" x14ac:dyDescent="0.35">
      <c r="A88" s="4" t="s">
        <v>243</v>
      </c>
      <c r="B88" s="5" t="s">
        <v>2433</v>
      </c>
      <c r="C88" s="5" t="s">
        <v>2447</v>
      </c>
      <c r="D88" s="9" t="s">
        <v>2528</v>
      </c>
    </row>
    <row r="89" spans="1:4" x14ac:dyDescent="0.35">
      <c r="A89" s="4" t="s">
        <v>268</v>
      </c>
      <c r="B89" s="5" t="s">
        <v>2433</v>
      </c>
      <c r="C89" s="5" t="s">
        <v>2439</v>
      </c>
      <c r="D89" s="9" t="s">
        <v>2529</v>
      </c>
    </row>
    <row r="90" spans="1:4" x14ac:dyDescent="0.35">
      <c r="A90" s="4" t="s">
        <v>259</v>
      </c>
      <c r="B90" s="5" t="s">
        <v>2433</v>
      </c>
      <c r="C90" s="5" t="s">
        <v>2455</v>
      </c>
      <c r="D90" s="9" t="s">
        <v>2530</v>
      </c>
    </row>
    <row r="91" spans="1:4" x14ac:dyDescent="0.35">
      <c r="A91" s="4" t="s">
        <v>273</v>
      </c>
      <c r="B91" s="5" t="s">
        <v>2433</v>
      </c>
      <c r="C91" s="5" t="s">
        <v>2447</v>
      </c>
      <c r="D91" s="9" t="s">
        <v>2531</v>
      </c>
    </row>
    <row r="92" spans="1:4" x14ac:dyDescent="0.35">
      <c r="A92" s="4" t="s">
        <v>237</v>
      </c>
      <c r="B92" s="5" t="s">
        <v>2438</v>
      </c>
      <c r="C92" s="5" t="s">
        <v>2455</v>
      </c>
      <c r="D92" s="9" t="s">
        <v>2532</v>
      </c>
    </row>
    <row r="93" spans="1:4" x14ac:dyDescent="0.35">
      <c r="A93" s="4" t="s">
        <v>175</v>
      </c>
      <c r="B93" s="5" t="s">
        <v>2433</v>
      </c>
      <c r="C93" s="5" t="s">
        <v>2455</v>
      </c>
      <c r="D93" s="9" t="s">
        <v>2533</v>
      </c>
    </row>
    <row r="94" spans="1:4" x14ac:dyDescent="0.35">
      <c r="A94" s="4" t="s">
        <v>542</v>
      </c>
      <c r="B94" s="5" t="s">
        <v>2441</v>
      </c>
      <c r="C94" s="5" t="s">
        <v>2443</v>
      </c>
      <c r="D94" s="9" t="s">
        <v>2534</v>
      </c>
    </row>
    <row r="95" spans="1:4" x14ac:dyDescent="0.35">
      <c r="A95" s="4" t="s">
        <v>125</v>
      </c>
      <c r="B95" s="5" t="s">
        <v>2438</v>
      </c>
      <c r="C95" s="5" t="s">
        <v>2436</v>
      </c>
      <c r="D95" s="9" t="s">
        <v>2535</v>
      </c>
    </row>
    <row r="96" spans="1:4" x14ac:dyDescent="0.35">
      <c r="A96" s="4" t="s">
        <v>281</v>
      </c>
      <c r="B96" s="5" t="s">
        <v>2433</v>
      </c>
      <c r="C96" s="5" t="s">
        <v>2434</v>
      </c>
      <c r="D96" s="9" t="s">
        <v>2536</v>
      </c>
    </row>
    <row r="97" spans="1:4" x14ac:dyDescent="0.35">
      <c r="A97" s="4" t="s">
        <v>157</v>
      </c>
      <c r="B97" s="5" t="s">
        <v>2438</v>
      </c>
      <c r="C97" s="5" t="s">
        <v>2443</v>
      </c>
      <c r="D97" s="9" t="s">
        <v>2537</v>
      </c>
    </row>
    <row r="98" spans="1:4" x14ac:dyDescent="0.35">
      <c r="A98" s="4" t="s">
        <v>204</v>
      </c>
      <c r="B98" s="5" t="s">
        <v>2438</v>
      </c>
      <c r="C98" s="5" t="s">
        <v>2434</v>
      </c>
      <c r="D98" s="9" t="s">
        <v>2538</v>
      </c>
    </row>
    <row r="99" spans="1:4" x14ac:dyDescent="0.35">
      <c r="A99" s="4" t="s">
        <v>511</v>
      </c>
      <c r="B99" s="5" t="s">
        <v>2441</v>
      </c>
      <c r="C99" s="5" t="s">
        <v>2443</v>
      </c>
      <c r="D99" s="9" t="s">
        <v>2539</v>
      </c>
    </row>
    <row r="100" spans="1:4" x14ac:dyDescent="0.35">
      <c r="A100" s="4" t="s">
        <v>595</v>
      </c>
      <c r="B100" s="5" t="s">
        <v>2438</v>
      </c>
      <c r="C100" s="5" t="s">
        <v>2447</v>
      </c>
      <c r="D100" s="9" t="s">
        <v>2540</v>
      </c>
    </row>
    <row r="101" spans="1:4" x14ac:dyDescent="0.35">
      <c r="A101" s="6" t="s">
        <v>756</v>
      </c>
      <c r="B101" s="7" t="s">
        <v>2433</v>
      </c>
      <c r="C101" s="7" t="s">
        <v>2455</v>
      </c>
      <c r="D101" s="8" t="s">
        <v>2541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BA9010-8DCA-4D74-998E-2216B091A7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OCR Support</dc:creator>
  <cp:lastModifiedBy>OCR Support</cp:lastModifiedBy>
  <dcterms:created xsi:type="dcterms:W3CDTF">2026-08-11T08:53:33Z</dcterms:created>
  <dcterms:modified xsi:type="dcterms:W3CDTF">2026-08-11T18:25:36Z</dcterms:modified>
</cp:coreProperties>
</file>